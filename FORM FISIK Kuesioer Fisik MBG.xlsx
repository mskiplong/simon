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erjaan Dit PA\128~BGN\"/>
    </mc:Choice>
  </mc:AlternateContent>
  <xr:revisionPtr revIDLastSave="0" documentId="13_ncr:1_{AB911CD4-0095-4375-8306-B72540F0A223}" xr6:coauthVersionLast="47" xr6:coauthVersionMax="47" xr10:uidLastSave="{00000000-0000-0000-0000-000000000000}"/>
  <bookViews>
    <workbookView xWindow="-110" yWindow="-110" windowWidth="19420" windowHeight="11500" firstSheet="1" activeTab="2" xr2:uid="{D219DC4E-BB25-4414-8F4F-85F012D6FC34}"/>
  </bookViews>
  <sheets>
    <sheet name="DJPB_Short 2025" sheetId="2" state="hidden" r:id="rId1"/>
    <sheet name="SPPG" sheetId="7" r:id="rId2"/>
    <sheet name="Naker" sheetId="8" r:id="rId3"/>
  </sheets>
  <definedNames>
    <definedName name="_xlnm.Print_Area" localSheetId="2">Naker!$A$1:$AD$106</definedName>
    <definedName name="_xlnm.Print_Area" localSheetId="1">SPPG!$A$1:$AC$185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2" i="8" l="1"/>
  <c r="A55" i="8" s="1"/>
  <c r="A59" i="8" s="1"/>
  <c r="A68" i="8" s="1"/>
  <c r="A89" i="7"/>
  <c r="A90" i="7" s="1"/>
  <c r="A91" i="7" s="1"/>
  <c r="A92" i="7" s="1"/>
  <c r="A142" i="7"/>
  <c r="A143" i="7" s="1"/>
  <c r="A72" i="8" l="1"/>
  <c r="A83" i="8" s="1"/>
  <c r="A87" i="8" s="1"/>
  <c r="A92" i="8" s="1"/>
  <c r="A98" i="8" s="1"/>
  <c r="A151" i="7"/>
  <c r="A160" i="7" s="1"/>
  <c r="A165" i="7" s="1"/>
  <c r="A172" i="7" s="1"/>
  <c r="A15" i="8"/>
  <c r="A16" i="8" s="1"/>
  <c r="A17" i="8" s="1"/>
  <c r="A21" i="8"/>
  <c r="A38" i="8" s="1"/>
  <c r="A42" i="8" s="1"/>
  <c r="A43" i="8" s="1"/>
  <c r="A44" i="8" s="1"/>
  <c r="A45" i="8" s="1"/>
  <c r="AE58" i="7"/>
  <c r="A93" i="7"/>
  <c r="A72" i="7"/>
  <c r="A73" i="7" s="1"/>
  <c r="A74" i="7" s="1"/>
  <c r="A75" i="7" s="1"/>
  <c r="A97" i="7"/>
  <c r="A104" i="7" s="1"/>
  <c r="A105" i="7" s="1"/>
  <c r="A106" i="7" s="1"/>
  <c r="A107" i="7" s="1"/>
  <c r="A108" i="7" s="1"/>
  <c r="A43" i="7"/>
  <c r="A44" i="7" s="1"/>
  <c r="A39" i="7"/>
  <c r="A23" i="7"/>
  <c r="A24" i="7" s="1"/>
  <c r="A25" i="7" s="1"/>
  <c r="A26" i="7" s="1"/>
  <c r="A27" i="7" s="1"/>
  <c r="A30" i="7" s="1"/>
  <c r="A31" i="7" s="1"/>
  <c r="A32" i="7" s="1"/>
  <c r="A34" i="7" s="1"/>
</calcChain>
</file>

<file path=xl/sharedStrings.xml><?xml version="1.0" encoding="utf-8"?>
<sst xmlns="http://schemas.openxmlformats.org/spreadsheetml/2006/main" count="652" uniqueCount="408">
  <si>
    <t>DAFTAR PERTANYAAN SURVEY PENYALURAN MBG</t>
  </si>
  <si>
    <t>Nama SPPG</t>
  </si>
  <si>
    <t>Alamat</t>
  </si>
  <si>
    <t>A</t>
  </si>
  <si>
    <t xml:space="preserve">Proses Bisnis SPPG  </t>
  </si>
  <si>
    <t xml:space="preserve">Sejak kapan SPPG beroperasi? </t>
  </si>
  <si>
    <t>Berapa porsi yang disalurkan per hari?</t>
  </si>
  <si>
    <t xml:space="preserve">Berapa jumlah penerima manfaat per kelompok (siswa/ibu hamil/menyusui/balita)? </t>
  </si>
  <si>
    <t>Bagaimana jadwal kegiatan penyediaan MBG?</t>
  </si>
  <si>
    <t>Berapa waktu dan biaya yang dibutuhkan dari pendaftaran SPPG hingga operasional?</t>
  </si>
  <si>
    <t>Apa saja biaya yang ditarik oleh Yayasan?</t>
  </si>
  <si>
    <t xml:space="preserve">Bagaimana dan berapa lama proses klaim pencairan anggaran ke BGN? </t>
  </si>
  <si>
    <t>B</t>
  </si>
  <si>
    <t>Tenaga Kerja</t>
  </si>
  <si>
    <t>Jumlah total tenaga kerja yang terlibat?</t>
  </si>
  <si>
    <t xml:space="preserve">Berapa persentase pekerja yang sudah pernah bekerja? </t>
  </si>
  <si>
    <t xml:space="preserve">Bagaimana rekrutmen pekerja? </t>
  </si>
  <si>
    <t xml:space="preserve">Berapa rata-rata gaji per hari? </t>
  </si>
  <si>
    <t xml:space="preserve">Apa saja bentuk pelatihan untuk pekerja? </t>
  </si>
  <si>
    <t>C</t>
  </si>
  <si>
    <t>Higenitas dan Keamanan Pangan</t>
  </si>
  <si>
    <t>Bagaimana penerapan SOP kebersihan dan keamanan pangan?</t>
  </si>
  <si>
    <t xml:space="preserve">Bagaimana pengawasan mulai dari pengadaan bahan baku, proses pengolahan, proses distribusi? </t>
  </si>
  <si>
    <t>Apakah ada uji sampel reguler makanan MBG?</t>
  </si>
  <si>
    <t xml:space="preserve">Pihak mana saja yang melakukan pengawasan? </t>
  </si>
  <si>
    <t xml:space="preserve">Jika pernah terdapat kasus keracunan, apa penyebabnya dan bagaimana penanganannya? </t>
  </si>
  <si>
    <t>D</t>
  </si>
  <si>
    <r>
      <t>Standar Gizi Makanan</t>
    </r>
    <r>
      <rPr>
        <sz val="11"/>
        <color rgb="FF000000"/>
        <rFont val="Arial Nova Cond"/>
        <family val="2"/>
      </rPr>
      <t xml:space="preserve"> </t>
    </r>
  </si>
  <si>
    <t>Bagaimana pemenuhan standar gizi? Apa ukurannya?</t>
  </si>
  <si>
    <t xml:space="preserve">Bagaimana cara menentukan menu makanan? </t>
  </si>
  <si>
    <t>Apakah semua menggunakan bahan segar atau ada bahan olahan (Ultra Processed Food)?</t>
  </si>
  <si>
    <t>Bagaimana cara pemorsian? (Ditimbang/Ditakar/Dicetak/Dikira-kira?)</t>
  </si>
  <si>
    <t>Bagaimana peran ahli gizi di SPPG?</t>
  </si>
  <si>
    <t>E</t>
  </si>
  <si>
    <t xml:space="preserve">Supply Bahan Makanan </t>
  </si>
  <si>
    <t>Dari mana saja bahan baku didapatkan? Apakah melibatkan pelaku usaha lokal?</t>
  </si>
  <si>
    <t>Bagaiman cara menentukan supplier bahan baku?</t>
  </si>
  <si>
    <t>Siapa yang bertanggung jawab dalam pembayaran kepada supplier?</t>
  </si>
  <si>
    <t xml:space="preserve">Apakah ada kerja sama dengan perusahaan biskuit/susu/makanan instan? </t>
  </si>
  <si>
    <t>Berapa total pembelanjaan dari supplier per minggu?</t>
  </si>
  <si>
    <t>Apakah alasan jika pernah terjadi keterlambatan dalam pengiriman?</t>
  </si>
  <si>
    <t>F</t>
  </si>
  <si>
    <t>Sampah</t>
  </si>
  <si>
    <t>Bagaimana pengelolaan sampah sisa makanan?</t>
  </si>
  <si>
    <t>Apakah ada instalasi pengelolahan sampah di lingkungan SPPG ini?</t>
  </si>
  <si>
    <t>Estimasi waktu survey per SPPG yang dibutuhkan: 45 menit</t>
  </si>
  <si>
    <t>======== Terima kasih atas partisipasi Bapak/Ibu dalam upaya meningkatkan kualitas MBG ========</t>
  </si>
  <si>
    <t>Kabupaten/Kota</t>
  </si>
  <si>
    <t>Provinsi</t>
  </si>
  <si>
    <t>Nama Responden</t>
  </si>
  <si>
    <t>Sebelum mewawancarai responden, perkenalkan masing-masing penanya dan infokan bahwa survei ini merupakan survei pemantauan yang sedang dilakukan oleh Kementerian Keuangan untuk memahami kendala dan manfaat dalam pendistribusian MBG.</t>
  </si>
  <si>
    <t>Daftar Pertanyaan Untuk Yayasan/Mitra</t>
  </si>
  <si>
    <t>Survey Pemantauan Pelaksanaan Makan Bergizi Gratis</t>
  </si>
  <si>
    <t>Tujuan: Mengetahui Kendala Operasional dalam Mendirikan SPPG</t>
  </si>
  <si>
    <r>
      <rPr>
        <b/>
        <sz val="10"/>
        <rFont val="Times New Roman"/>
        <family val="1"/>
      </rPr>
      <t>RAHASIA</t>
    </r>
  </si>
  <si>
    <t>Kode Pertanyaan</t>
  </si>
  <si>
    <t>Durasi</t>
  </si>
  <si>
    <t>:</t>
  </si>
  <si>
    <t>Menit</t>
  </si>
  <si>
    <t xml:space="preserve">Bagian 1. Identitas dan Lokasi Responden </t>
  </si>
  <si>
    <t>Nama Yayasan/Mitra</t>
  </si>
  <si>
    <t xml:space="preserve">: </t>
  </si>
  <si>
    <t>Jabatan/Posisi Responden</t>
  </si>
  <si>
    <t>Apakah Memiliki NIB?</t>
  </si>
  <si>
    <t xml:space="preserve"> 1. Ya</t>
  </si>
  <si>
    <t>2. Tidak</t>
  </si>
  <si>
    <t>Alamat (Nama Jalan/Gang, RT/RW/Dusun)</t>
  </si>
  <si>
    <t xml:space="preserve">Petugas yang Mewawancara: </t>
  </si>
  <si>
    <t xml:space="preserve">Tanggal Wawancara: </t>
  </si>
  <si>
    <t>-</t>
  </si>
  <si>
    <t>dd-mm-yyyy</t>
  </si>
  <si>
    <t>Pukul:</t>
  </si>
  <si>
    <t>.</t>
  </si>
  <si>
    <t>Bagian 2. Proses Pendaftaran dan Operasional Bisnis SPPG</t>
  </si>
  <si>
    <r>
      <t xml:space="preserve">Apakah mengelola usaha lain </t>
    </r>
    <r>
      <rPr>
        <b/>
        <sz val="11"/>
        <color theme="1"/>
        <rFont val="Arial"/>
        <family val="2"/>
      </rPr>
      <t xml:space="preserve">SEBELUM </t>
    </r>
    <r>
      <rPr>
        <sz val="11"/>
        <color theme="1"/>
        <rFont val="Arial"/>
        <family val="2"/>
      </rPr>
      <t>mengelola SPPG?</t>
    </r>
  </si>
  <si>
    <t>Tahun mulai beroperasi secara komersial</t>
  </si>
  <si>
    <t>yyyy</t>
  </si>
  <si>
    <r>
      <t xml:space="preserve">Jumlah Pekerja </t>
    </r>
    <r>
      <rPr>
        <b/>
        <sz val="11"/>
        <color theme="1"/>
        <rFont val="Arial"/>
        <family val="2"/>
      </rPr>
      <t>SEBELUM</t>
    </r>
    <r>
      <rPr>
        <sz val="11"/>
        <color theme="1"/>
        <rFont val="Arial"/>
        <family val="2"/>
      </rPr>
      <t xml:space="preserve"> mengelola SPPG (Jumlah Orang)</t>
    </r>
  </si>
  <si>
    <t>Orang</t>
  </si>
  <si>
    <t>Bulan apakah dimulai pendaftaran menjadi SPPG</t>
  </si>
  <si>
    <t>Januari; 2 Februari; …..; 12 Desember</t>
  </si>
  <si>
    <t>Bulan apakah SPPG mulai beroperasi</t>
  </si>
  <si>
    <t>Kendala utama selama proses pendaftaran hingga mulai operasional</t>
  </si>
  <si>
    <t>Syarat administasi</t>
  </si>
  <si>
    <t>Biaya-biaya terkait pendaftaran</t>
  </si>
  <si>
    <t>Lainnya ….</t>
  </si>
  <si>
    <r>
      <rPr>
        <b/>
        <sz val="11"/>
        <color theme="1"/>
        <rFont val="Arial"/>
        <family val="2"/>
      </rPr>
      <t>Biaya</t>
    </r>
    <r>
      <rPr>
        <sz val="11"/>
        <color theme="1"/>
        <rFont val="Arial"/>
        <family val="2"/>
      </rPr>
      <t xml:space="preserve"> dikeluarkan selama proses </t>
    </r>
    <r>
      <rPr>
        <b/>
        <sz val="11"/>
        <color theme="1"/>
        <rFont val="Arial"/>
        <family val="2"/>
      </rPr>
      <t>pendaftaran</t>
    </r>
    <r>
      <rPr>
        <sz val="11"/>
        <color theme="1"/>
        <rFont val="Arial"/>
        <family val="2"/>
      </rPr>
      <t xml:space="preserve"> hingga mulai operasional</t>
    </r>
  </si>
  <si>
    <t>Rp</t>
  </si>
  <si>
    <t>Juta</t>
  </si>
  <si>
    <r>
      <t xml:space="preserve">Jumlah Pekerja </t>
    </r>
    <r>
      <rPr>
        <b/>
        <sz val="11"/>
        <color theme="1"/>
        <rFont val="Arial"/>
        <family val="2"/>
      </rPr>
      <t>SETELAH</t>
    </r>
    <r>
      <rPr>
        <sz val="11"/>
        <color theme="1"/>
        <rFont val="Arial"/>
        <family val="2"/>
      </rPr>
      <t xml:space="preserve"> mengelola SPPG</t>
    </r>
  </si>
  <si>
    <t>Bentuk Usaha SPPG</t>
  </si>
  <si>
    <t>PT/PT Persero</t>
  </si>
  <si>
    <t>Koperasi</t>
  </si>
  <si>
    <t>BUMDes</t>
  </si>
  <si>
    <t>KL/PEMDA/TNI/POLRI*</t>
  </si>
  <si>
    <t>CV</t>
  </si>
  <si>
    <t>Yayasan</t>
  </si>
  <si>
    <t>KDMP</t>
  </si>
  <si>
    <t>Lainnya ….................................</t>
  </si>
  <si>
    <t>Status Dapur SPPG</t>
  </si>
  <si>
    <t>Dapur SPPG BGN</t>
  </si>
  <si>
    <t>Dapur SPPG Mandiri Bangunan Sudah Berdiri</t>
  </si>
  <si>
    <t>Dapur SPPG Mandiri Standar BGN</t>
  </si>
  <si>
    <t>Dapur SPPG Khusus</t>
  </si>
  <si>
    <r>
      <t xml:space="preserve">Sumber pendanaan </t>
    </r>
    <r>
      <rPr>
        <b/>
        <sz val="11"/>
        <color theme="1"/>
        <rFont val="Arial"/>
        <family val="2"/>
      </rPr>
      <t xml:space="preserve">utama </t>
    </r>
    <r>
      <rPr>
        <sz val="11"/>
        <color theme="1"/>
        <rFont val="Arial"/>
        <family val="2"/>
      </rPr>
      <t>selama mengelola SPPG</t>
    </r>
  </si>
  <si>
    <t>Modal sendiri/perusahaan</t>
  </si>
  <si>
    <t>Pemerintah</t>
  </si>
  <si>
    <t>Pinjaman Bank</t>
  </si>
  <si>
    <t>Kendala Pendaftaran dan Operasionalisasi Lainnya</t>
  </si>
  <si>
    <t>….................................................................................................................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</si>
  <si>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</t>
  </si>
  <si>
    <t>Bagian 3. Pendapatan dan Operasional SPPG</t>
  </si>
  <si>
    <r>
      <t xml:space="preserve">Apakah memperoleh </t>
    </r>
    <r>
      <rPr>
        <b/>
        <sz val="11"/>
        <color theme="1"/>
        <rFont val="Arial"/>
        <family val="2"/>
      </rPr>
      <t xml:space="preserve">uang muka pembayaran pertama </t>
    </r>
    <r>
      <rPr>
        <sz val="11"/>
        <color theme="1"/>
        <rFont val="Arial"/>
        <family val="2"/>
      </rPr>
      <t>biaya operasional dari BGN?</t>
    </r>
  </si>
  <si>
    <t>1 Ya  2.Tidak</t>
  </si>
  <si>
    <t>Jika memperoleh uang muka pembayaran pertama, berapakah nilainya</t>
  </si>
  <si>
    <r>
      <t xml:space="preserve">Berapa </t>
    </r>
    <r>
      <rPr>
        <b/>
        <sz val="11"/>
        <color rgb="FF000000"/>
        <rFont val="Arial"/>
        <family val="2"/>
      </rPr>
      <t xml:space="preserve">hari </t>
    </r>
    <r>
      <rPr>
        <sz val="11"/>
        <color rgb="FF000000"/>
        <rFont val="Arial"/>
        <family val="2"/>
      </rPr>
      <t xml:space="preserve">proses penyelesaian pembayaran oleh BGN ke mitra </t>
    </r>
  </si>
  <si>
    <t xml:space="preserve">setelah diajukan untuk pengajuan pembayaran kedua dan seterusnya? </t>
  </si>
  <si>
    <t>hari</t>
  </si>
  <si>
    <t>Siapa yang menentukan menu makanan?</t>
  </si>
  <si>
    <t>Kepala SPPG</t>
  </si>
  <si>
    <t>Ahli Gizi</t>
  </si>
  <si>
    <t>lainnya ….....</t>
  </si>
  <si>
    <t>SPPG Memiliki Hubungan Kekerabatan Dengan BGN/TNI/POLRI (Keluarga, dll)?</t>
  </si>
  <si>
    <t>PETUNJUK PENGISIAN</t>
  </si>
  <si>
    <t>1. Kuesioner terdiri dari 3 bagian, Identitas dan Lokasi Responden, Bagian 2 Proses Pendaftaran dan Operasional Bisnis SPPG, dan Bagian 3 Pendapatan dan Operasional SPPG</t>
  </si>
  <si>
    <t>2. Bacakan seluruh pertanyaan dalam setiap bagian berurutan</t>
  </si>
  <si>
    <t>3. Isikan jawaban responden untuk setiap pertanyaan</t>
  </si>
  <si>
    <t>4. Pada bagian kotak centang (v) sesuai nomor jawaban</t>
  </si>
  <si>
    <t>5. Pada bagian dengan "….." diisi dengan jawaban responden</t>
  </si>
  <si>
    <t>6. Perhatikan satuan waktu dan jumlah ketika mendengar jawaban responden</t>
  </si>
  <si>
    <t>Daftar Pertanyaan Untuk SPPG</t>
  </si>
  <si>
    <t>Total pertanyaan inti</t>
  </si>
  <si>
    <t>Tujuan: Mengetahui Perkembangan Operasional dalam Pengelolaan SPPG</t>
  </si>
  <si>
    <t>Apakah Masih Beroperasi?</t>
  </si>
  <si>
    <t>2. Tidak, sebutkan alasannya …....</t>
  </si>
  <si>
    <t xml:space="preserve">Jika tidak beroperasi, </t>
  </si>
  <si>
    <t>Proses Pendaftaran</t>
  </si>
  <si>
    <t>Fasilitas dapur tidak layak pakai</t>
  </si>
  <si>
    <t>apakah alasan utama?</t>
  </si>
  <si>
    <t>Persiapan Operasional</t>
  </si>
  <si>
    <t>Kendala distribusi logistik ke lokasi</t>
  </si>
  <si>
    <t>Kontrak berakhir / dihentikan pemerintah</t>
  </si>
  <si>
    <t>Suspend BGN</t>
  </si>
  <si>
    <t>Dana operasional tidak tersedia</t>
  </si>
  <si>
    <t>lainnya …..................................</t>
  </si>
  <si>
    <t>Sejak kapan beroperasi</t>
  </si>
  <si>
    <t>Jabatan</t>
  </si>
  <si>
    <t>1 Kepala SPPG</t>
  </si>
  <si>
    <t>2 Pengawas Gizi</t>
  </si>
  <si>
    <t>3 Akuntan</t>
  </si>
  <si>
    <t>4 Lainnya ....</t>
  </si>
  <si>
    <t>Bagian 2. Operasional SPPG</t>
  </si>
  <si>
    <r>
      <t>Jumlah porsi/hari</t>
    </r>
    <r>
      <rPr>
        <b/>
        <sz val="11"/>
        <color rgb="FF000000"/>
        <rFont val="Arial"/>
        <family val="2"/>
      </rPr>
      <t xml:space="preserve"> </t>
    </r>
    <r>
      <rPr>
        <sz val="11"/>
        <color rgb="FF000000"/>
        <rFont val="Arial"/>
        <family val="2"/>
      </rPr>
      <t xml:space="preserve">yang dilayani pada </t>
    </r>
    <r>
      <rPr>
        <b/>
        <sz val="11"/>
        <color rgb="FF000000"/>
        <rFont val="Arial"/>
        <family val="2"/>
      </rPr>
      <t>akhir bulan lalu</t>
    </r>
  </si>
  <si>
    <t>Siswa</t>
  </si>
  <si>
    <t>penerima</t>
  </si>
  <si>
    <t>Ibu Hamil dan Menyusui</t>
  </si>
  <si>
    <t>Balita</t>
  </si>
  <si>
    <t>Guru &amp; Tendik</t>
  </si>
  <si>
    <t>Kader Posyandu</t>
  </si>
  <si>
    <r>
      <t xml:space="preserve">Jumlah hari penyaluran MBG </t>
    </r>
    <r>
      <rPr>
        <b/>
        <sz val="11"/>
        <color theme="1"/>
        <rFont val="Arial"/>
        <family val="2"/>
      </rPr>
      <t>bulan lalu</t>
    </r>
  </si>
  <si>
    <t>Waktu tempuh terlama untuk distribusi?</t>
  </si>
  <si>
    <t>a.</t>
  </si>
  <si>
    <t xml:space="preserve"> &lt;15 menit</t>
  </si>
  <si>
    <t xml:space="preserve">b. </t>
  </si>
  <si>
    <t>&lt;30 menit</t>
  </si>
  <si>
    <t xml:space="preserve">c. </t>
  </si>
  <si>
    <t>&gt;30 menit, sebutkan….</t>
  </si>
  <si>
    <r>
      <rPr>
        <sz val="11"/>
        <color rgb="FF000000"/>
        <rFont val="Arial"/>
        <family val="2"/>
      </rPr>
      <t xml:space="preserve">Total jumlah pekerja </t>
    </r>
    <r>
      <rPr>
        <b/>
        <sz val="11"/>
        <color rgb="FF000000"/>
        <rFont val="Arial"/>
        <family val="2"/>
      </rPr>
      <t xml:space="preserve">bulan lalu </t>
    </r>
    <r>
      <rPr>
        <sz val="11"/>
        <color rgb="FF000000"/>
        <rFont val="Arial"/>
        <family val="2"/>
      </rPr>
      <t>(termasuk Kepala SPPG, Pengawas Gizi, dan Akuntan)</t>
    </r>
  </si>
  <si>
    <r>
      <rPr>
        <sz val="11"/>
        <color rgb="FF000000"/>
        <rFont val="Arial"/>
        <family val="2"/>
      </rPr>
      <t xml:space="preserve">Total jumlah juru masak </t>
    </r>
    <r>
      <rPr>
        <b/>
        <sz val="11"/>
        <color rgb="FF000000"/>
        <rFont val="Arial"/>
        <family val="2"/>
      </rPr>
      <t xml:space="preserve">bulan lalu </t>
    </r>
    <r>
      <rPr>
        <sz val="11"/>
        <color rgb="FF000000"/>
        <rFont val="Arial"/>
        <family val="2"/>
      </rPr>
      <t xml:space="preserve">(termasuk </t>
    </r>
    <r>
      <rPr>
        <i/>
        <sz val="11"/>
        <color rgb="FF000000"/>
        <rFont val="Arial"/>
        <family val="2"/>
      </rPr>
      <t>head chef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</si>
  <si>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Arial"/>
        <family val="2"/>
      </rPr>
      <t xml:space="preserve">Jumlah hari kerja untuk dasar pembayaran upah </t>
    </r>
    <r>
      <rPr>
        <b/>
        <sz val="11"/>
        <color rgb="FF000000"/>
        <rFont val="Arial"/>
        <family val="2"/>
      </rPr>
      <t>bulan lalu</t>
    </r>
  </si>
  <si>
    <t>Persentase pekerja didaftarkan BPJS Ketenagakerjaan?</t>
  </si>
  <si>
    <t>1 (0-20%)</t>
  </si>
  <si>
    <t>2 (21-50%)</t>
  </si>
  <si>
    <t>3 (51-80%)</t>
  </si>
  <si>
    <t>4 (81-100%)</t>
  </si>
  <si>
    <t>(Dari total jumlah pekerja)</t>
  </si>
  <si>
    <t>Bagian 3 - Keamanan Pangan dan Pengelolaan Sampah</t>
  </si>
  <si>
    <t>Apakah terdapat pengawasan kelaikan makanan oleh pihak eksternal?</t>
  </si>
  <si>
    <t>1. Ya</t>
  </si>
  <si>
    <r>
      <t xml:space="preserve">Jika ya, berapa kali dilakukan pada </t>
    </r>
    <r>
      <rPr>
        <b/>
        <sz val="11"/>
        <color theme="1"/>
        <rFont val="Arial"/>
        <family val="2"/>
      </rPr>
      <t>minggu lalu</t>
    </r>
    <r>
      <rPr>
        <sz val="11"/>
        <color theme="1"/>
        <rFont val="Arial"/>
        <family val="2"/>
      </rPr>
      <t xml:space="preserve">? 
</t>
    </r>
  </si>
  <si>
    <t>a</t>
  </si>
  <si>
    <t>KPPG/Korwil/Korcam (di luar Kepala SPPG)</t>
  </si>
  <si>
    <t>kali</t>
  </si>
  <si>
    <t>b</t>
  </si>
  <si>
    <t>Dinas Kesehatan/Puskesmas</t>
  </si>
  <si>
    <t>c</t>
  </si>
  <si>
    <t>TNI / POLRI</t>
  </si>
  <si>
    <t xml:space="preserve"> </t>
  </si>
  <si>
    <t>d</t>
  </si>
  <si>
    <t>Lainnya …........................</t>
  </si>
  <si>
    <t>Tahap I</t>
  </si>
  <si>
    <t>Tahap II</t>
  </si>
  <si>
    <r>
      <rPr>
        <sz val="11"/>
        <color rgb="FF000000"/>
        <rFont val="Arial"/>
        <family val="2"/>
      </rPr>
      <t>Pada pukul berapa</t>
    </r>
    <r>
      <rPr>
        <b/>
        <sz val="11"/>
        <color rgb="FF000000"/>
        <rFont val="Arial"/>
        <family val="2"/>
      </rPr>
      <t xml:space="preserve"> </t>
    </r>
    <r>
      <rPr>
        <sz val="11"/>
        <color rgb="FF000000"/>
        <rFont val="Arial"/>
        <family val="2"/>
      </rPr>
      <t xml:space="preserve">makanan </t>
    </r>
    <r>
      <rPr>
        <b/>
        <sz val="11"/>
        <color rgb="FF000000"/>
        <rFont val="Arial"/>
        <family val="2"/>
      </rPr>
      <t xml:space="preserve">hari ini </t>
    </r>
    <r>
      <rPr>
        <sz val="11"/>
        <color rgb="FF000000"/>
        <rFont val="Arial"/>
        <family val="2"/>
      </rPr>
      <t>mulai dimasak?</t>
    </r>
  </si>
  <si>
    <t>pukul</t>
  </si>
  <si>
    <r>
      <t xml:space="preserve">Pada pukul berapa makanan </t>
    </r>
    <r>
      <rPr>
        <b/>
        <sz val="11"/>
        <color theme="1"/>
        <rFont val="Arial"/>
        <family val="2"/>
      </rPr>
      <t xml:space="preserve">hari ini </t>
    </r>
    <r>
      <rPr>
        <sz val="11"/>
        <color theme="1"/>
        <rFont val="Arial"/>
        <family val="2"/>
      </rPr>
      <t>selesai dimasak?</t>
    </r>
  </si>
  <si>
    <r>
      <rPr>
        <sz val="11"/>
        <color rgb="FF000000"/>
        <rFont val="Arial"/>
        <family val="2"/>
      </rPr>
      <t xml:space="preserve">Pada pukul berapa makanan </t>
    </r>
    <r>
      <rPr>
        <b/>
        <sz val="11"/>
        <color rgb="FF000000"/>
        <rFont val="Arial"/>
        <family val="2"/>
      </rPr>
      <t xml:space="preserve">hari ini </t>
    </r>
    <r>
      <rPr>
        <sz val="11"/>
        <color rgb="FF000000"/>
        <rFont val="Arial"/>
        <family val="2"/>
      </rPr>
      <t>mulai proses pemorsian?</t>
    </r>
  </si>
  <si>
    <r>
      <rPr>
        <sz val="11"/>
        <color rgb="FF000000"/>
        <rFont val="Arial"/>
        <family val="2"/>
      </rPr>
      <t xml:space="preserve">Pada pukul berapa makanan </t>
    </r>
    <r>
      <rPr>
        <b/>
        <sz val="11"/>
        <color rgb="FF000000"/>
        <rFont val="Arial"/>
        <family val="2"/>
      </rPr>
      <t xml:space="preserve">hari ini </t>
    </r>
    <r>
      <rPr>
        <sz val="11"/>
        <color rgb="FF000000"/>
        <rFont val="Arial"/>
        <family val="2"/>
      </rPr>
      <t>selesai diporsikan?</t>
    </r>
  </si>
  <si>
    <r>
      <rPr>
        <sz val="11"/>
        <color rgb="FF000000"/>
        <rFont val="Arial"/>
        <family val="2"/>
      </rPr>
      <t xml:space="preserve">Pada pukul berapa makanan </t>
    </r>
    <r>
      <rPr>
        <b/>
        <sz val="11"/>
        <color rgb="FF000000"/>
        <rFont val="Arial"/>
        <family val="2"/>
      </rPr>
      <t xml:space="preserve">hari ini </t>
    </r>
    <r>
      <rPr>
        <sz val="11"/>
        <color rgb="FF000000"/>
        <rFont val="Arial"/>
        <family val="2"/>
      </rPr>
      <t>dikirim ke penerima?</t>
    </r>
  </si>
  <si>
    <t xml:space="preserve">Siapa yang melakukan uji sampel makanan </t>
  </si>
  <si>
    <t>Tidak ada</t>
  </si>
  <si>
    <t>Pengawas Gizi</t>
  </si>
  <si>
    <r>
      <rPr>
        <b/>
        <sz val="11"/>
        <color theme="1"/>
        <rFont val="Arial"/>
        <family val="2"/>
      </rPr>
      <t>hari ini</t>
    </r>
    <r>
      <rPr>
        <sz val="11"/>
        <color theme="1"/>
        <rFont val="Arial"/>
        <family val="2"/>
      </rPr>
      <t xml:space="preserve"> sebelum dibagikan?</t>
    </r>
  </si>
  <si>
    <t>Juru Masak</t>
  </si>
  <si>
    <t>e</t>
  </si>
  <si>
    <t>Lainnya …..............................................</t>
  </si>
  <si>
    <t>Apa sumber air utama untuk memasak?</t>
  </si>
  <si>
    <t>Sumur Bor/Pompa</t>
  </si>
  <si>
    <t>PDAM</t>
  </si>
  <si>
    <t>Air Galon Bermerk</t>
  </si>
  <si>
    <t>Air Galon Isi ulang</t>
  </si>
  <si>
    <t>Apakah pernah ada kejadian menonjol gangguan pencernaan?</t>
  </si>
  <si>
    <t>1 bulan terakhir</t>
  </si>
  <si>
    <t>1-3 bulan lalu</t>
  </si>
  <si>
    <t>&gt;3 bulan lalu</t>
  </si>
  <si>
    <t>Pengelolaan sampah / limbah padat sisa makanan MBG</t>
  </si>
  <si>
    <t>Didaur ulang / dimanfaatkan kembali oleh pihak lain</t>
  </si>
  <si>
    <t>Dibuang ke TPA</t>
  </si>
  <si>
    <t>Dibuang ke sungai / laut / pesisir</t>
  </si>
  <si>
    <t>Lainnya …...................................................................</t>
  </si>
  <si>
    <t>Apakah ada kendala dalam penyiapan makanan dalam jumlah besar?</t>
  </si>
  <si>
    <t>…................................................................</t>
  </si>
  <si>
    <t>…........................................................................................................................................................................................</t>
  </si>
  <si>
    <t>Bagian 4. Administrasi Keuangan SPPG</t>
  </si>
  <si>
    <r>
      <t xml:space="preserve">Saldo VA </t>
    </r>
    <r>
      <rPr>
        <b/>
        <sz val="11"/>
        <color rgb="FF000000"/>
        <rFont val="Arial"/>
        <family val="2"/>
      </rPr>
      <t>akhir bulan lalu</t>
    </r>
  </si>
  <si>
    <r>
      <t xml:space="preserve">Apakah saldo VA </t>
    </r>
    <r>
      <rPr>
        <b/>
        <sz val="11"/>
        <color rgb="FF000000"/>
        <rFont val="Arial"/>
        <family val="2"/>
      </rPr>
      <t xml:space="preserve">3 bulan lalu </t>
    </r>
    <r>
      <rPr>
        <sz val="11"/>
        <color rgb="FF000000"/>
        <rFont val="Arial"/>
        <family val="2"/>
      </rPr>
      <t>pernah melebihi Rp500 juta?</t>
    </r>
  </si>
  <si>
    <r>
      <t xml:space="preserve">Nilai penerimaan/top up dari BGN pada </t>
    </r>
    <r>
      <rPr>
        <b/>
        <sz val="11"/>
        <color rgb="FF000000"/>
        <rFont val="Arial"/>
        <family val="2"/>
      </rPr>
      <t>bulan lalu</t>
    </r>
  </si>
  <si>
    <t>Rentang waktu top up saldo VA terakhir dan sebelumnya</t>
  </si>
  <si>
    <t>(hari kerja)</t>
  </si>
  <si>
    <t>Apa saja laporan keuangan yang disampaikan ke BGN? (pilihan bisa lebih dari satu)</t>
  </si>
  <si>
    <t>a. Harian</t>
  </si>
  <si>
    <t>b. Dua mingguan</t>
  </si>
  <si>
    <t>c. Bulanan</t>
  </si>
  <si>
    <t>Aplikasi apa yang digunakan untuk membuat laporan keuangan?......</t>
  </si>
  <si>
    <t>a. Aplikasi Pelaporan Keuangan SPPG (berbasis excel)</t>
  </si>
  <si>
    <t>b. Aplikasi lainnya</t>
  </si>
  <si>
    <t>Periode pembayaran insentif dapur (Rp6 juta/hari)</t>
  </si>
  <si>
    <t>a. Bulanan   b. 2 Mingguan   c. Mingguan d. Harian</t>
  </si>
  <si>
    <r>
      <t xml:space="preserve">Jumlah hari untuk perhitungan insentif dapur </t>
    </r>
    <r>
      <rPr>
        <b/>
        <sz val="11"/>
        <color theme="1"/>
        <rFont val="Arial"/>
        <family val="2"/>
      </rPr>
      <t>minggu lalu</t>
    </r>
  </si>
  <si>
    <t xml:space="preserve">Berapakah Supplier untuk  program MBG pada SPPG ini </t>
  </si>
  <si>
    <t>unit supplier</t>
  </si>
  <si>
    <r>
      <t>Jumlah Pengeluaran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bahan baku untuk program MBG </t>
    </r>
    <r>
      <rPr>
        <b/>
        <sz val="11"/>
        <color theme="1"/>
        <rFont val="Arial"/>
        <family val="2"/>
      </rPr>
      <t xml:space="preserve">minggu lalu </t>
    </r>
    <r>
      <rPr>
        <sz val="11"/>
        <color theme="1"/>
        <rFont val="Arial"/>
        <family val="2"/>
      </rPr>
      <t>(berdasarkan kelompok supplier)</t>
    </r>
  </si>
  <si>
    <t>a. KDKMP</t>
  </si>
  <si>
    <t>b. BUMDES/Koperasi lainnya</t>
  </si>
  <si>
    <t xml:space="preserve">c. Agen/Pasar </t>
  </si>
  <si>
    <t>d. Distributor</t>
  </si>
  <si>
    <t>e. Produsen (petani, peternak, nelayan)</t>
  </si>
  <si>
    <t>f. UMKM makanan</t>
  </si>
  <si>
    <r>
      <t>Jumlah Pengeluaran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bahan baku untuk program MBG </t>
    </r>
    <r>
      <rPr>
        <b/>
        <sz val="11"/>
        <color theme="1"/>
        <rFont val="Arial"/>
        <family val="2"/>
      </rPr>
      <t>minggu lalu</t>
    </r>
    <r>
      <rPr>
        <sz val="11"/>
        <color theme="1"/>
        <rFont val="Arial"/>
        <family val="2"/>
      </rPr>
      <t xml:space="preserve"> (berdasarkan kelompok bahan baku)</t>
    </r>
  </si>
  <si>
    <t>Dalam kota</t>
  </si>
  <si>
    <t>Luar kota</t>
  </si>
  <si>
    <t>Makanan Pokok (Beras, Kentang, Ubi, dst)</t>
  </si>
  <si>
    <t>Lauk (Daging, ayam, ikan, tempe, tahu, dst)</t>
  </si>
  <si>
    <t>Sayuran</t>
  </si>
  <si>
    <t>Buah-buahan</t>
  </si>
  <si>
    <t>Minuman (Susu, dll)</t>
  </si>
  <si>
    <t>f</t>
  </si>
  <si>
    <t>Lainnya (Minyak, bumbu, dll)</t>
  </si>
  <si>
    <t>g</t>
  </si>
  <si>
    <t>Total</t>
  </si>
  <si>
    <t>Berapa harga bahan baku?</t>
  </si>
  <si>
    <t>Bulan ini</t>
  </si>
  <si>
    <t>Bulan lalu</t>
  </si>
  <si>
    <t>a. Beras</t>
  </si>
  <si>
    <t>Ribu/kg</t>
  </si>
  <si>
    <t>b. Daging ayam</t>
  </si>
  <si>
    <t>c. Telur</t>
  </si>
  <si>
    <t>d. Susu</t>
  </si>
  <si>
    <t>Pengeluaran biaya operasional minggu lalu</t>
  </si>
  <si>
    <t>Tenaga kerja/Relawan</t>
  </si>
  <si>
    <t>Bensin / Solar / BBM lain</t>
  </si>
  <si>
    <t>LPG/BBG /Gas Kota</t>
  </si>
  <si>
    <t>Utilitas: Listrik, Air Bersih, dll</t>
  </si>
  <si>
    <t>Sewa kendaraan</t>
  </si>
  <si>
    <t>Biaya Operasional Lainnya</t>
  </si>
  <si>
    <r>
      <t xml:space="preserve">Kendala terkait proses penyiapan dan distribusi MBG di SPPG?  </t>
    </r>
    <r>
      <rPr>
        <i/>
        <sz val="11"/>
        <color theme="1"/>
        <rFont val="Arial"/>
        <family val="2"/>
      </rPr>
      <t>(pilihan bisa lebih dari satu)</t>
    </r>
  </si>
  <si>
    <t>1. Ketersediaan bahan baku</t>
  </si>
  <si>
    <t>2. Harga bahan baku meningkat</t>
  </si>
  <si>
    <t>3. Pembayaran ke supplier terhambat</t>
  </si>
  <si>
    <t>4. Petty cash tidak mencukupi</t>
  </si>
  <si>
    <t>5. Keterlambatan pencairan anggaran dari BGN</t>
  </si>
  <si>
    <t>6. Lainnya, sebutkan….................</t>
  </si>
  <si>
    <t>1. Kuesioner terdiri dari 3 bagian, Identitas dan Lokasi Responden, Operasional SPPG, Keamanan Pangan dan Pengelolaan Sampah, serta Administrasi Keuangan SPPG</t>
  </si>
  <si>
    <t>6. perhatikan satuan waktu dan jumlah ketika mendengar jawaban responden</t>
  </si>
  <si>
    <t>Daftar Pertanyaan Untuk Tenaga Kerja</t>
  </si>
  <si>
    <t>Tujuan: Mengetahui Dampak MBG terhadap Tenaga Kerja</t>
  </si>
  <si>
    <t xml:space="preserve">Bagian 1. Lokasi dan Identitas Responden </t>
  </si>
  <si>
    <t>1. Kepala SPPG</t>
  </si>
  <si>
    <t>2. Ahli Gizi</t>
  </si>
  <si>
    <t>3. Juru Masak</t>
  </si>
  <si>
    <t>4. Juru Cuci</t>
  </si>
  <si>
    <t>5. Koordinator Lapangan</t>
  </si>
  <si>
    <t>6. Pengemudi</t>
  </si>
  <si>
    <t>7. Akuntan</t>
  </si>
  <si>
    <t>8. Lainnya (sebutkan...)</t>
  </si>
  <si>
    <t>Pendidikan Terakhir Responden</t>
  </si>
  <si>
    <t>1. Tidak Tamat SD</t>
  </si>
  <si>
    <t>2. SD/sederajat</t>
  </si>
  <si>
    <t>3. SMP/sederajat</t>
  </si>
  <si>
    <t>4. SMA/sederajat</t>
  </si>
  <si>
    <t>5.  Diploma/S-1</t>
  </si>
  <si>
    <t>6. S2/S3</t>
  </si>
  <si>
    <t>Bekerja di SPPG Sejak</t>
  </si>
  <si>
    <t>/</t>
  </si>
  <si>
    <t>mm / yyyy</t>
  </si>
  <si>
    <t>Bagian 2. Pertanyaan terkait Pekerjaan</t>
  </si>
  <si>
    <t>Apakah Anda telah bekerja sebelumnya</t>
  </si>
  <si>
    <t>1. Ya (sebutkan nama pekerjaan …)</t>
  </si>
  <si>
    <r>
      <t xml:space="preserve">2. Tidak </t>
    </r>
    <r>
      <rPr>
        <i/>
        <sz val="8"/>
        <color theme="1"/>
        <rFont val="Arial"/>
        <family val="2"/>
      </rPr>
      <t>(loncat ke pertanyaan 204)</t>
    </r>
  </si>
  <si>
    <t>Di sektor apakah Anda bekerja sebelumnya</t>
  </si>
  <si>
    <t>1. Pertanian, Kehutanan, dan Perikanan</t>
  </si>
  <si>
    <t>2. Pertambangan dan Penggalian</t>
  </si>
  <si>
    <t>3. Industri Pengolahan/Manufaktur</t>
  </si>
  <si>
    <t>4. Pengadaan Listrik dan Gas</t>
  </si>
  <si>
    <t>5. Pengadaan Air, Pengelolaan Sampah, Limbah dan Daur Ulang</t>
  </si>
  <si>
    <t>6. Konstruksi</t>
  </si>
  <si>
    <t>7. Perdagangan Besar dan Eceran; Reparasi Mobil dan Sepeda Motor</t>
  </si>
  <si>
    <t>8. Transportasi dan Pergudangan</t>
  </si>
  <si>
    <t>9. Penyediaan Akomodasi dan Makan Minum</t>
  </si>
  <si>
    <t>10. Informasi dan Komunikasi</t>
  </si>
  <si>
    <t>11. Jasa Keuangan dan Asuransi</t>
  </si>
  <si>
    <t>12. Real Estate</t>
  </si>
  <si>
    <t>13. Jasa Perusahaan</t>
  </si>
  <si>
    <t>14. Administrasi Pemerintahan, Pertahanan dan Jaminan Sosial Wajib</t>
  </si>
  <si>
    <t>15. Jasa Pendidikan</t>
  </si>
  <si>
    <t>16. Jasa Kesehatan dan Kegiatan Sosial</t>
  </si>
  <si>
    <t>17. Jasa Lainnya</t>
  </si>
  <si>
    <t>Berapa rupiah rata-rata upah bulanan pada pekerjaan sebelumnya</t>
  </si>
  <si>
    <t>/ bulan</t>
  </si>
  <si>
    <t>(lanjut ke 205)</t>
  </si>
  <si>
    <t>Apakah kegiatan utama Anda sebelum bekerja di SPPG</t>
  </si>
  <si>
    <t>1. Mencari Pekerjaan</t>
  </si>
  <si>
    <t>2. Ibu/Bapak Rumah Tangga</t>
  </si>
  <si>
    <t>3. Sekolah</t>
  </si>
  <si>
    <t xml:space="preserve">4. Pensiun </t>
  </si>
  <si>
    <t>5. Lainnya (sebutkan …)</t>
  </si>
  <si>
    <t>Berapa hari kerja rata-rata dalam sepekan bekerja di SPPG ini</t>
  </si>
  <si>
    <t>hari/minggu</t>
  </si>
  <si>
    <t>Berapa jam rata-rata per hari bekerja di SPPG ini</t>
  </si>
  <si>
    <t>jam/hari</t>
  </si>
  <si>
    <t>Berapa rupiah rata-rata upah satu bulan terakhir di SPPG ini</t>
  </si>
  <si>
    <t>/bulan</t>
  </si>
  <si>
    <t>Apakah terdapat pembayaran lembur di SPPG ini?</t>
  </si>
  <si>
    <t>Apakah Anda memiliki pekerjaan lain selain bekerja di SPPG ini?</t>
  </si>
  <si>
    <t>1. Kuesioner ini bertujuan untuk mengetahui perkembangan terkait ketenagakerjaan dengan adanya Program MBG</t>
  </si>
  <si>
    <t>2. Kuesioner ini disebar ke para tenaga kerja di SPPG untuk diisi mandiri</t>
  </si>
  <si>
    <r>
      <t xml:space="preserve">Jumlah Sekolah yang menerima MBG pada </t>
    </r>
    <r>
      <rPr>
        <b/>
        <sz val="11"/>
        <color rgb="FF000000"/>
        <rFont val="Arial"/>
        <family val="2"/>
      </rPr>
      <t>akhir bulan lalu</t>
    </r>
  </si>
  <si>
    <t>PAUD</t>
  </si>
  <si>
    <t>SD/MI/SDLB</t>
  </si>
  <si>
    <t>SMP/MTs/SMPLB</t>
  </si>
  <si>
    <t>SMA/SMK/MA/SMALB</t>
  </si>
  <si>
    <t>TK/RA</t>
  </si>
  <si>
    <t>Bagian 3. Pertanyaan terkait Evaluasi Operasional, Kendala di Lapangan, dan Dampak Program MBG</t>
  </si>
  <si>
    <t>Apakah di posisi jabatan Anda saat ini sudah tersedia petunjuk kerja tertulis atau SOP yang jelas?</t>
  </si>
  <si>
    <t xml:space="preserve">a. </t>
  </si>
  <si>
    <t>Ya, sudah ada dan sangat jelas</t>
  </si>
  <si>
    <t>Sudah ada, tetapi kurang jelas/sulit diterapkan</t>
  </si>
  <si>
    <t>Belum ada SOP tertulis sama sekali</t>
  </si>
  <si>
    <t>Apakah Anda pernah mendapatkan pengarahan khusus mengenai SOP pekerjaan Anda sebelum program berjalan?</t>
  </si>
  <si>
    <t>Ya, pernah</t>
  </si>
  <si>
    <t>Tidak pernah</t>
  </si>
  <si>
    <t>Seberapa sering Anda mengalami situasi di mana pekerjaan di lapangan terpaksa harus menyimpang dari SOP yang ada?</t>
  </si>
  <si>
    <t>Sering sekali</t>
  </si>
  <si>
    <t>Kadang-kadang</t>
  </si>
  <si>
    <t>Tidak pernah / Selalu sesuai SOP</t>
  </si>
  <si>
    <t xml:space="preserve">Apa saja kendala terbesar yang paling sering Anda hadapi selama menjalankan tugas di SPPG ini? </t>
  </si>
  <si>
    <t>(Jawaban boleh lebih dari satu)</t>
  </si>
  <si>
    <t>Keterbatasan alat kerja / fasilitas kurang memadai</t>
  </si>
  <si>
    <t>Manajemen waktu (waktu pengerjaan terburu-buru/sempit)</t>
  </si>
  <si>
    <t>Jumlah tenaga kerja di posisi saya kurang (beban kerja terlalu berat)</t>
  </si>
  <si>
    <t>Masalah komunikasi atau koordinasi antar-tim/pimpinan</t>
  </si>
  <si>
    <t>Keterlambatan pasokan bahan baku atau logistik distribusi</t>
  </si>
  <si>
    <t>Sistem pelaporan administrasi/keuangan yang terlalu rumit</t>
  </si>
  <si>
    <t>Lainnya (sebutkan): ____________________</t>
  </si>
  <si>
    <t>Anda/tim lakukan di lapangan untuk mengatasinya?</t>
  </si>
  <si>
    <t xml:space="preserve"> ___________________________________________________________________________________________________________</t>
  </si>
  <si>
    <r>
      <t>Jawaban:</t>
    </r>
    <r>
      <rPr>
        <sz val="11"/>
        <color theme="1"/>
        <rFont val="Aptos Narrow"/>
        <family val="2"/>
        <scheme val="minor"/>
      </rPr>
      <t xml:space="preserve"> _______________________________________________________________________________________</t>
    </r>
  </si>
  <si>
    <r>
      <rPr>
        <i/>
        <sz val="11"/>
        <color theme="1"/>
        <rFont val="Arial"/>
        <family val="2"/>
      </rPr>
      <t>(Pertanyaan Terbuka)</t>
    </r>
    <r>
      <rPr>
        <sz val="11"/>
        <color theme="1"/>
        <rFont val="Arial"/>
        <family val="2"/>
      </rPr>
      <t xml:space="preserve"> Jika ada kendala pada nomor 304, apa solusi, inovasi, atau perbaikan mandiri yang sudah pernah </t>
    </r>
  </si>
  <si>
    <r>
      <rPr>
        <i/>
        <sz val="11"/>
        <color theme="1"/>
        <rFont val="Arial"/>
        <family val="2"/>
      </rPr>
      <t>(Pertanyaan Terbuka)</t>
    </r>
    <r>
      <rPr>
        <sz val="11"/>
        <color theme="1"/>
        <rFont val="Arial"/>
        <family val="2"/>
      </rPr>
      <t xml:space="preserve"> Menurut Anda, apa usulan perbaikan yang paling mendesak untuk dilakukan oleh manajemen pusat/SPPG </t>
    </r>
  </si>
  <si>
    <t>agar pekerjaan Anda ke depan lebih berjalan lancar?</t>
  </si>
  <si>
    <t>Bagaimana dampak penghasilan yang Anda terima dari SPPG ini terhadap kondisi ekonomi keluarga Anda?</t>
  </si>
  <si>
    <t>Cukup membantu untuk memenuhi kebutuhan pokok sehari-hari</t>
  </si>
  <si>
    <t xml:space="preserve">Selain upah materi, dampak positif apa lagi yang Anda rasakan secara personal semenjak bekerja di program MBG ini? </t>
  </si>
  <si>
    <t>Mendapatkan keterampilan baru (memasak skala besar, sanitasi, gizi, akuntansi publik, dll.)</t>
  </si>
  <si>
    <t>Memiliki jaringan pertemanan atau relasi kerja yang lebih luas</t>
  </si>
  <si>
    <t>Tidak ada dampak lain</t>
  </si>
  <si>
    <t>Merasa bangga/puas bisa berkontribusi untuk gizi anak-anak sekolah dan menyukseskan program Pemerintah</t>
  </si>
  <si>
    <t>d.</t>
  </si>
  <si>
    <t>e.</t>
  </si>
  <si>
    <t>Kurangnya koordinasi atau instruksi yang kurang jelas dari atasan/tim lain</t>
  </si>
  <si>
    <t>Tidak ada hambatan, semua berjalan lancar</t>
  </si>
  <si>
    <t>f.</t>
  </si>
  <si>
    <t>Keterlambatan distribusi makanan dari dapur umum hingga tiba di sekolah</t>
  </si>
  <si>
    <r>
      <t>Banyak sisa makanan yang terbuang (</t>
    </r>
    <r>
      <rPr>
        <i/>
        <sz val="11"/>
        <color theme="1"/>
        <rFont val="Arial"/>
        <family val="2"/>
      </rPr>
      <t>food waste</t>
    </r>
    <r>
      <rPr>
        <sz val="11"/>
        <color theme="1"/>
        <rFont val="Arial"/>
        <family val="2"/>
      </rPr>
      <t>) karena siswa tidak menghabiskan makanan yang disediakan</t>
    </r>
  </si>
  <si>
    <t>Pengelolaan sampah dan limbah yang kurang baik</t>
  </si>
  <si>
    <t>g.</t>
  </si>
  <si>
    <t>h.</t>
  </si>
  <si>
    <t>Ada selisih data penerima yang tidak sesuai</t>
  </si>
  <si>
    <t>i.</t>
  </si>
  <si>
    <t>Terkait Gangguan Kesehatan / Keracunan</t>
  </si>
  <si>
    <t>Penurunan kualitas/kesegaran makanan yang disajikan</t>
  </si>
  <si>
    <t xml:space="preserve">Kendala apa yang pernah Anda jumpai dalam melaksanakan/menyalurkan program MBG di lapangan? </t>
  </si>
  <si>
    <t>Lingkungan kerja yang kurang nyaman (panas, sempit, kotor dll.)</t>
  </si>
  <si>
    <t>Sangat membantu meningkatkan taraf hidup dan kesejahteraan keluarga</t>
  </si>
  <si>
    <t>Belum cukup untuk memenuhi kebutuhan pokok sehari-hari</t>
  </si>
  <si>
    <t>Tidak memberikan perubahan yang berarti bagi ekonomi keluarga</t>
  </si>
  <si>
    <r>
      <rPr>
        <i/>
        <sz val="11"/>
        <color theme="1"/>
        <rFont val="Arial"/>
        <family val="2"/>
      </rPr>
      <t xml:space="preserve">(Pertanyaan terbuka) </t>
    </r>
    <r>
      <rPr>
        <sz val="11"/>
        <color theme="1"/>
        <rFont val="Arial"/>
        <family val="2"/>
      </rPr>
      <t xml:space="preserve">Berdasarkan pengamatan Anda, Bagaimana kehadiran SPPG ini memberikan dampak ekonomi bagi </t>
    </r>
  </si>
  <si>
    <t>lingkungan dan pelaku usaha masyarakat sekitar lokasi SPPG?</t>
  </si>
  <si>
    <t>(Contoh: dampak bagi pedagang, warung, petani, peternak, nelayan, UMKM, BUMDes, atau masyarakat sekitar)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</si>
</sst>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b/>
      <sz val="11"/>
      <color theme="1"/>
      <name val="Arial Nova Cond"/>
      <family val="2"/>
    </font>
    <font>
      <sz val="11"/>
      <color theme="1"/>
      <name val="Arial Nova Cond"/>
      <family val="2"/>
    </font>
    <font>
      <b/>
      <sz val="11"/>
      <color rgb="FF000000"/>
      <name val="Arial Nova Cond"/>
      <family val="2"/>
    </font>
    <font>
      <sz val="11"/>
      <color rgb="FF000000"/>
      <name val="Arial Nova Cond"/>
      <family val="2"/>
    </font>
    <font>
      <i/>
      <sz val="11"/>
      <color theme="1"/>
      <name val="Arial Nova Cond"/>
      <family val="2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sz val="8"/>
      <color theme="1"/>
      <name val="Arial"/>
      <family val="2"/>
    </font>
    <font>
      <i/>
      <sz val="11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i/>
      <sz val="11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color rgb="FFC00000"/>
      <name val="Arial"/>
      <family val="2"/>
    </font>
    <font>
      <i/>
      <sz val="11"/>
      <color rgb="FFC00000"/>
      <name val="Arial"/>
      <family val="2"/>
    </font>
    <font>
      <sz val="9"/>
      <color rgb="FFC00000"/>
      <name val="Arial"/>
      <family val="2"/>
    </font>
    <font>
      <i/>
      <sz val="9"/>
      <color rgb="FFC00000"/>
      <name val="Arial"/>
      <family val="2"/>
    </font>
    <font>
      <i/>
      <sz val="11"/>
      <color rgb="FF000000"/>
      <name val="Arial"/>
      <family val="2"/>
    </font>
    <font>
      <i/>
      <sz val="8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vertical="center" readingOrder="1"/>
    </xf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5" fillId="0" borderId="0" xfId="0" quotePrefix="1" applyFont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readingOrder="1"/>
    </xf>
    <xf numFmtId="0" fontId="0" fillId="0" borderId="0" xfId="0" applyAlignment="1">
      <alignment vertical="top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4" borderId="0" xfId="0" applyFont="1" applyFill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4" fillId="0" borderId="1" xfId="0" applyFont="1" applyBorder="1" applyAlignment="1">
      <alignment vertical="top"/>
    </xf>
    <xf numFmtId="0" fontId="15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0" xfId="0" applyFont="1" applyAlignment="1">
      <alignment vertical="top"/>
    </xf>
    <xf numFmtId="0" fontId="16" fillId="0" borderId="3" xfId="0" applyFont="1" applyBorder="1" applyAlignment="1">
      <alignment vertical="center"/>
    </xf>
    <xf numFmtId="0" fontId="15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6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top"/>
    </xf>
    <xf numFmtId="0" fontId="1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7" fillId="4" borderId="0" xfId="0" applyFont="1" applyFill="1"/>
    <xf numFmtId="0" fontId="13" fillId="0" borderId="7" xfId="0" applyFont="1" applyBorder="1" applyAlignment="1">
      <alignment vertical="top" wrapText="1"/>
    </xf>
    <xf numFmtId="0" fontId="10" fillId="0" borderId="7" xfId="0" applyFont="1" applyBorder="1" applyAlignment="1">
      <alignment vertical="top"/>
    </xf>
    <xf numFmtId="0" fontId="10" fillId="0" borderId="7" xfId="0" applyFont="1" applyBorder="1"/>
    <xf numFmtId="0" fontId="14" fillId="0" borderId="2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4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5" fillId="0" borderId="7" xfId="0" applyFont="1" applyBorder="1" applyAlignment="1">
      <alignment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0" xfId="0" applyFont="1"/>
    <xf numFmtId="0" fontId="10" fillId="0" borderId="2" xfId="0" applyFont="1" applyBorder="1" applyAlignment="1">
      <alignment vertical="top"/>
    </xf>
    <xf numFmtId="0" fontId="19" fillId="0" borderId="0" xfId="0" applyFont="1" applyAlignment="1">
      <alignment vertical="top"/>
    </xf>
    <xf numFmtId="0" fontId="14" fillId="0" borderId="12" xfId="0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0" fontId="10" fillId="0" borderId="12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0" fillId="0" borderId="12" xfId="0" applyFont="1" applyBorder="1" applyAlignment="1">
      <alignment vertical="top"/>
    </xf>
    <xf numFmtId="0" fontId="10" fillId="0" borderId="8" xfId="0" applyFont="1" applyBorder="1" applyAlignment="1">
      <alignment vertical="center"/>
    </xf>
    <xf numFmtId="0" fontId="10" fillId="0" borderId="11" xfId="0" applyFont="1" applyBorder="1" applyAlignment="1">
      <alignment vertical="top"/>
    </xf>
    <xf numFmtId="0" fontId="11" fillId="3" borderId="0" xfId="0" applyFont="1" applyFill="1"/>
    <xf numFmtId="0" fontId="13" fillId="0" borderId="0" xfId="0" applyFont="1" applyAlignment="1">
      <alignment vertical="center"/>
    </xf>
    <xf numFmtId="0" fontId="13" fillId="0" borderId="0" xfId="0" applyFont="1"/>
    <xf numFmtId="0" fontId="30" fillId="0" borderId="0" xfId="0" applyFont="1" applyAlignment="1">
      <alignment vertical="center"/>
    </xf>
    <xf numFmtId="0" fontId="11" fillId="4" borderId="10" xfId="0" applyFont="1" applyFill="1" applyBorder="1"/>
    <xf numFmtId="0" fontId="11" fillId="3" borderId="7" xfId="0" applyFont="1" applyFill="1" applyBorder="1"/>
    <xf numFmtId="0" fontId="11" fillId="3" borderId="6" xfId="0" applyFont="1" applyFill="1" applyBorder="1"/>
    <xf numFmtId="0" fontId="10" fillId="0" borderId="3" xfId="0" applyFont="1" applyBorder="1" applyAlignment="1">
      <alignment vertical="top"/>
    </xf>
    <xf numFmtId="0" fontId="16" fillId="0" borderId="12" xfId="0" applyFont="1" applyBorder="1" applyAlignment="1">
      <alignment vertical="top"/>
    </xf>
    <xf numFmtId="0" fontId="10" fillId="0" borderId="0" xfId="0" applyFont="1" applyBorder="1" applyAlignment="1">
      <alignment vertical="center"/>
    </xf>
    <xf numFmtId="0" fontId="10" fillId="0" borderId="14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Border="1"/>
    <xf numFmtId="0" fontId="13" fillId="0" borderId="0" xfId="0" applyFont="1" applyBorder="1"/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6" fillId="0" borderId="0" xfId="0" applyFont="1" applyBorder="1" applyAlignment="1">
      <alignment horizontal="right" vertical="center"/>
    </xf>
    <xf numFmtId="0" fontId="31" fillId="0" borderId="0" xfId="0" applyFont="1"/>
    <xf numFmtId="0" fontId="0" fillId="0" borderId="0" xfId="0" applyFont="1"/>
    <xf numFmtId="0" fontId="10" fillId="0" borderId="0" xfId="0" applyFont="1" applyFill="1" applyBorder="1" applyAlignment="1">
      <alignment vertical="center"/>
    </xf>
    <xf numFmtId="0" fontId="7" fillId="4" borderId="7" xfId="0" applyFont="1" applyFill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11" fillId="4" borderId="1" xfId="0" applyFont="1" applyFill="1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9" fillId="0" borderId="0" xfId="2" applyFont="1" applyAlignment="1">
      <alignment horizontal="left" wrapText="1"/>
    </xf>
    <xf numFmtId="0" fontId="11" fillId="4" borderId="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0" fillId="0" borderId="0" xfId="0" applyFont="1" applyAlignment="1">
      <alignment horizontal="center" vertical="top" wrapText="1"/>
    </xf>
    <xf numFmtId="0" fontId="7" fillId="4" borderId="10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</cellXfs>
  <cellStyles count="3">
    <cellStyle name="Normal" xfId="0" builtinId="0"/>
    <cellStyle name="Normal 2" xfId="1" xr:uid="{DEB7A4A3-2351-4FEF-A680-DBCE88CDF32E}"/>
    <cellStyle name="Normal 2 2" xfId="2" xr:uid="{6FB259C1-2A67-4688-8C62-1BE1D1435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C955-C668-45EF-A682-1D4506149B7B}">
  <dimension ref="A2:B51"/>
  <sheetViews>
    <sheetView topLeftCell="A5" zoomScale="77" workbookViewId="0">
      <selection activeCell="B22" sqref="B22"/>
    </sheetView>
  </sheetViews>
  <sheetFormatPr defaultColWidth="8.7265625" defaultRowHeight="14" x14ac:dyDescent="0.3"/>
  <cols>
    <col min="1" max="1" width="4.7265625" style="2" customWidth="1"/>
    <col min="2" max="2" width="94.7265625" style="2" customWidth="1"/>
    <col min="3" max="16384" width="8.7265625" style="2"/>
  </cols>
  <sheetData>
    <row r="2" spans="1:2" x14ac:dyDescent="0.3">
      <c r="A2" s="1" t="s">
        <v>0</v>
      </c>
    </row>
    <row r="3" spans="1:2" ht="4.9000000000000004" customHeight="1" x14ac:dyDescent="0.3"/>
    <row r="4" spans="1:2" x14ac:dyDescent="0.3">
      <c r="A4" s="12"/>
      <c r="B4" s="13" t="s">
        <v>1</v>
      </c>
    </row>
    <row r="5" spans="1:2" x14ac:dyDescent="0.3">
      <c r="A5" s="12"/>
      <c r="B5" s="13" t="s">
        <v>2</v>
      </c>
    </row>
    <row r="6" spans="1:2" x14ac:dyDescent="0.3">
      <c r="A6" s="3" t="s">
        <v>3</v>
      </c>
      <c r="B6" s="4" t="s">
        <v>4</v>
      </c>
    </row>
    <row r="7" spans="1:2" x14ac:dyDescent="0.3">
      <c r="A7" s="5">
        <v>1</v>
      </c>
      <c r="B7" s="6" t="s">
        <v>5</v>
      </c>
    </row>
    <row r="8" spans="1:2" x14ac:dyDescent="0.3">
      <c r="A8" s="5">
        <v>2</v>
      </c>
      <c r="B8" s="6" t="s">
        <v>6</v>
      </c>
    </row>
    <row r="9" spans="1:2" x14ac:dyDescent="0.3">
      <c r="A9" s="5">
        <v>3</v>
      </c>
      <c r="B9" s="6" t="s">
        <v>7</v>
      </c>
    </row>
    <row r="10" spans="1:2" x14ac:dyDescent="0.3">
      <c r="A10" s="5">
        <v>4</v>
      </c>
      <c r="B10" s="6" t="s">
        <v>8</v>
      </c>
    </row>
    <row r="11" spans="1:2" x14ac:dyDescent="0.3">
      <c r="A11" s="5">
        <v>5</v>
      </c>
      <c r="B11" s="6" t="s">
        <v>9</v>
      </c>
    </row>
    <row r="12" spans="1:2" x14ac:dyDescent="0.3">
      <c r="A12" s="5">
        <v>6</v>
      </c>
      <c r="B12" s="6" t="s">
        <v>10</v>
      </c>
    </row>
    <row r="13" spans="1:2" x14ac:dyDescent="0.3">
      <c r="A13" s="5">
        <v>7</v>
      </c>
      <c r="B13" s="6" t="s">
        <v>11</v>
      </c>
    </row>
    <row r="14" spans="1:2" x14ac:dyDescent="0.3">
      <c r="A14" s="7"/>
      <c r="B14" s="7"/>
    </row>
    <row r="15" spans="1:2" x14ac:dyDescent="0.3">
      <c r="A15" s="3" t="s">
        <v>12</v>
      </c>
      <c r="B15" s="4" t="s">
        <v>13</v>
      </c>
    </row>
    <row r="16" spans="1:2" x14ac:dyDescent="0.3">
      <c r="A16" s="5">
        <v>1</v>
      </c>
      <c r="B16" s="6" t="s">
        <v>14</v>
      </c>
    </row>
    <row r="17" spans="1:2" x14ac:dyDescent="0.3">
      <c r="A17" s="5">
        <v>2</v>
      </c>
      <c r="B17" s="6" t="s">
        <v>15</v>
      </c>
    </row>
    <row r="18" spans="1:2" x14ac:dyDescent="0.3">
      <c r="A18" s="5">
        <v>3</v>
      </c>
      <c r="B18" s="6" t="s">
        <v>16</v>
      </c>
    </row>
    <row r="19" spans="1:2" x14ac:dyDescent="0.3">
      <c r="A19" s="5">
        <v>4</v>
      </c>
      <c r="B19" s="6" t="s">
        <v>17</v>
      </c>
    </row>
    <row r="20" spans="1:2" x14ac:dyDescent="0.3">
      <c r="A20" s="5">
        <v>5</v>
      </c>
      <c r="B20" s="6" t="s">
        <v>18</v>
      </c>
    </row>
    <row r="21" spans="1:2" x14ac:dyDescent="0.3">
      <c r="A21" s="7"/>
      <c r="B21" s="7"/>
    </row>
    <row r="22" spans="1:2" x14ac:dyDescent="0.3">
      <c r="A22" s="3" t="s">
        <v>19</v>
      </c>
      <c r="B22" s="8" t="s">
        <v>20</v>
      </c>
    </row>
    <row r="23" spans="1:2" x14ac:dyDescent="0.3">
      <c r="A23" s="5">
        <v>1</v>
      </c>
      <c r="B23" s="7" t="s">
        <v>21</v>
      </c>
    </row>
    <row r="24" spans="1:2" x14ac:dyDescent="0.3">
      <c r="A24" s="5">
        <v>2</v>
      </c>
      <c r="B24" s="7" t="s">
        <v>22</v>
      </c>
    </row>
    <row r="25" spans="1:2" x14ac:dyDescent="0.3">
      <c r="A25" s="5">
        <v>3</v>
      </c>
      <c r="B25" s="7" t="s">
        <v>23</v>
      </c>
    </row>
    <row r="26" spans="1:2" x14ac:dyDescent="0.3">
      <c r="A26" s="5">
        <v>4</v>
      </c>
      <c r="B26" s="7" t="s">
        <v>24</v>
      </c>
    </row>
    <row r="27" spans="1:2" x14ac:dyDescent="0.3">
      <c r="A27" s="5">
        <v>5</v>
      </c>
      <c r="B27" s="7" t="s">
        <v>25</v>
      </c>
    </row>
    <row r="28" spans="1:2" x14ac:dyDescent="0.3">
      <c r="A28" s="7"/>
      <c r="B28" s="7"/>
    </row>
    <row r="29" spans="1:2" x14ac:dyDescent="0.3">
      <c r="A29" s="3" t="s">
        <v>26</v>
      </c>
      <c r="B29" s="8" t="s">
        <v>27</v>
      </c>
    </row>
    <row r="30" spans="1:2" x14ac:dyDescent="0.3">
      <c r="A30" s="5">
        <v>1</v>
      </c>
      <c r="B30" s="7" t="s">
        <v>28</v>
      </c>
    </row>
    <row r="31" spans="1:2" x14ac:dyDescent="0.3">
      <c r="A31" s="5">
        <v>2</v>
      </c>
      <c r="B31" s="9" t="s">
        <v>29</v>
      </c>
    </row>
    <row r="32" spans="1:2" x14ac:dyDescent="0.3">
      <c r="A32" s="5">
        <v>3</v>
      </c>
      <c r="B32" s="7" t="s">
        <v>30</v>
      </c>
    </row>
    <row r="33" spans="1:2" x14ac:dyDescent="0.3">
      <c r="A33" s="5">
        <v>4</v>
      </c>
      <c r="B33" s="7" t="s">
        <v>31</v>
      </c>
    </row>
    <row r="34" spans="1:2" x14ac:dyDescent="0.3">
      <c r="A34" s="5">
        <v>6</v>
      </c>
      <c r="B34" s="7" t="s">
        <v>32</v>
      </c>
    </row>
    <row r="35" spans="1:2" x14ac:dyDescent="0.3">
      <c r="A35" s="7"/>
      <c r="B35" s="7"/>
    </row>
    <row r="36" spans="1:2" x14ac:dyDescent="0.3">
      <c r="A36" s="3" t="s">
        <v>33</v>
      </c>
      <c r="B36" s="10" t="s">
        <v>34</v>
      </c>
    </row>
    <row r="37" spans="1:2" x14ac:dyDescent="0.3">
      <c r="A37" s="5">
        <v>1</v>
      </c>
      <c r="B37" s="7" t="s">
        <v>35</v>
      </c>
    </row>
    <row r="38" spans="1:2" x14ac:dyDescent="0.3">
      <c r="A38" s="5">
        <v>2</v>
      </c>
      <c r="B38" s="9" t="s">
        <v>36</v>
      </c>
    </row>
    <row r="39" spans="1:2" x14ac:dyDescent="0.3">
      <c r="A39" s="5">
        <v>3</v>
      </c>
      <c r="B39" s="7" t="s">
        <v>37</v>
      </c>
    </row>
    <row r="40" spans="1:2" x14ac:dyDescent="0.3">
      <c r="A40" s="5">
        <v>4</v>
      </c>
      <c r="B40" s="9" t="s">
        <v>38</v>
      </c>
    </row>
    <row r="41" spans="1:2" x14ac:dyDescent="0.3">
      <c r="A41" s="5">
        <v>5</v>
      </c>
      <c r="B41" s="9" t="s">
        <v>39</v>
      </c>
    </row>
    <row r="42" spans="1:2" x14ac:dyDescent="0.3">
      <c r="A42" s="5">
        <v>6</v>
      </c>
      <c r="B42" s="7" t="s">
        <v>40</v>
      </c>
    </row>
    <row r="43" spans="1:2" x14ac:dyDescent="0.3">
      <c r="A43" s="5"/>
      <c r="B43" s="7"/>
    </row>
    <row r="44" spans="1:2" x14ac:dyDescent="0.3">
      <c r="A44" s="8" t="s">
        <v>41</v>
      </c>
      <c r="B44" s="4" t="s">
        <v>42</v>
      </c>
    </row>
    <row r="45" spans="1:2" x14ac:dyDescent="0.3">
      <c r="A45" s="5">
        <v>1</v>
      </c>
      <c r="B45" s="7" t="s">
        <v>43</v>
      </c>
    </row>
    <row r="46" spans="1:2" x14ac:dyDescent="0.3">
      <c r="A46" s="5">
        <v>2</v>
      </c>
      <c r="B46" s="7" t="s">
        <v>44</v>
      </c>
    </row>
    <row r="47" spans="1:2" x14ac:dyDescent="0.3">
      <c r="A47" s="5"/>
      <c r="B47" s="7"/>
    </row>
    <row r="49" spans="2:2" x14ac:dyDescent="0.3">
      <c r="B49" s="2" t="s">
        <v>45</v>
      </c>
    </row>
    <row r="51" spans="2:2" x14ac:dyDescent="0.3">
      <c r="B51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3FEF-02BC-4E68-ACB0-165B80447266}">
  <sheetPr>
    <tabColor theme="6"/>
  </sheetPr>
  <dimension ref="A1:AF185"/>
  <sheetViews>
    <sheetView view="pageBreakPreview" topLeftCell="A151" zoomScale="67" zoomScaleNormal="100" workbookViewId="0">
      <selection activeCell="A77" sqref="A77:AC94"/>
    </sheetView>
  </sheetViews>
  <sheetFormatPr defaultColWidth="9.453125" defaultRowHeight="14" x14ac:dyDescent="0.3"/>
  <cols>
    <col min="1" max="1" width="8.453125" style="19" customWidth="1"/>
    <col min="2" max="2" width="4.453125" style="19" customWidth="1"/>
    <col min="3" max="9" width="4.453125" style="15" customWidth="1"/>
    <col min="10" max="29" width="3.453125" style="15" customWidth="1"/>
    <col min="30" max="30" width="2.453125" style="15" bestFit="1" customWidth="1"/>
    <col min="31" max="16384" width="9.453125" style="15"/>
  </cols>
  <sheetData>
    <row r="1" spans="1:30" x14ac:dyDescent="0.3">
      <c r="A1" s="127" t="s">
        <v>50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</row>
    <row r="2" spans="1:30" x14ac:dyDescent="0.3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</row>
    <row r="3" spans="1:30" x14ac:dyDescent="0.3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</row>
    <row r="4" spans="1:30" ht="14.25" hidden="1" customHeight="1" x14ac:dyDescent="0.3">
      <c r="A4" s="122" t="s">
        <v>51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6"/>
    </row>
    <row r="5" spans="1:30" ht="14.25" hidden="1" customHeight="1" x14ac:dyDescent="0.3">
      <c r="A5" s="122" t="s">
        <v>52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6"/>
    </row>
    <row r="6" spans="1:30" ht="14.25" hidden="1" customHeight="1" x14ac:dyDescent="0.3">
      <c r="A6" s="123" t="s">
        <v>53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6"/>
    </row>
    <row r="7" spans="1:30" hidden="1" x14ac:dyDescent="0.3">
      <c r="A7" s="124" t="s">
        <v>54</v>
      </c>
      <c r="B7" s="124"/>
      <c r="C7" s="124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ht="20" hidden="1" x14ac:dyDescent="0.3">
      <c r="A8" s="18" t="s">
        <v>55</v>
      </c>
      <c r="F8" s="15" t="s">
        <v>56</v>
      </c>
      <c r="H8" s="15" t="s">
        <v>57</v>
      </c>
      <c r="I8" s="15">
        <v>30</v>
      </c>
      <c r="J8" s="15" t="s">
        <v>58</v>
      </c>
    </row>
    <row r="9" spans="1:30" ht="15" hidden="1" customHeight="1" x14ac:dyDescent="0.3">
      <c r="A9" s="126" t="s">
        <v>59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20"/>
    </row>
    <row r="10" spans="1:30" s="21" customFormat="1" ht="18" hidden="1" customHeight="1" x14ac:dyDescent="0.35">
      <c r="A10" s="19">
        <v>101</v>
      </c>
      <c r="B10" s="19" t="s">
        <v>60</v>
      </c>
      <c r="I10" s="21" t="s">
        <v>57</v>
      </c>
      <c r="J10" s="22"/>
      <c r="K10" s="22"/>
      <c r="L10" s="23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30" s="21" customFormat="1" ht="18" hidden="1" customHeight="1" x14ac:dyDescent="0.35">
      <c r="A11" s="19">
        <v>102</v>
      </c>
      <c r="B11" s="19" t="s">
        <v>48</v>
      </c>
      <c r="I11" s="21" t="s">
        <v>57</v>
      </c>
      <c r="J11" s="22"/>
      <c r="K11" s="24"/>
      <c r="L11" s="23"/>
      <c r="M11" s="25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30" s="21" customFormat="1" ht="18" hidden="1" customHeight="1" x14ac:dyDescent="0.35">
      <c r="A12" s="19">
        <v>103</v>
      </c>
      <c r="B12" s="19" t="s">
        <v>47</v>
      </c>
      <c r="I12" s="21" t="s">
        <v>57</v>
      </c>
      <c r="J12" s="22"/>
      <c r="K12" s="24"/>
      <c r="L12" s="22"/>
      <c r="M12" s="25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30" s="21" customFormat="1" ht="18" hidden="1" customHeight="1" x14ac:dyDescent="0.35">
      <c r="A13" s="19">
        <v>104</v>
      </c>
      <c r="B13" s="19" t="s">
        <v>49</v>
      </c>
      <c r="I13" s="21" t="s">
        <v>61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30" s="21" customFormat="1" ht="18" hidden="1" customHeight="1" x14ac:dyDescent="0.35">
      <c r="A14" s="19">
        <v>105</v>
      </c>
      <c r="B14" s="19" t="s">
        <v>62</v>
      </c>
      <c r="I14" s="26" t="s">
        <v>57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30" s="21" customFormat="1" ht="18" hidden="1" customHeight="1" x14ac:dyDescent="0.35">
      <c r="A15" s="19">
        <v>106</v>
      </c>
      <c r="B15" s="19" t="s">
        <v>63</v>
      </c>
      <c r="I15" s="21" t="s">
        <v>61</v>
      </c>
      <c r="J15" s="27"/>
      <c r="K15" s="28" t="s">
        <v>64</v>
      </c>
      <c r="L15" s="28"/>
      <c r="M15" s="28"/>
      <c r="N15" s="28" t="s">
        <v>65</v>
      </c>
    </row>
    <row r="16" spans="1:30" s="21" customFormat="1" ht="18" hidden="1" customHeight="1" x14ac:dyDescent="0.35">
      <c r="A16" s="19">
        <v>107</v>
      </c>
      <c r="B16" s="29" t="s">
        <v>66</v>
      </c>
      <c r="J16" s="30"/>
      <c r="K16" s="31"/>
      <c r="L16" s="32"/>
      <c r="M16" s="28" t="s">
        <v>57</v>
      </c>
      <c r="N16" s="3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30" s="21" customFormat="1" ht="18" hidden="1" customHeight="1" x14ac:dyDescent="0.35">
      <c r="A17" s="19"/>
      <c r="B17" s="34"/>
      <c r="C17" s="22"/>
      <c r="D17" s="22"/>
      <c r="E17" s="22"/>
      <c r="F17" s="22"/>
      <c r="G17" s="22"/>
      <c r="H17" s="22"/>
      <c r="I17" s="22"/>
      <c r="J17" s="27"/>
      <c r="K17" s="35"/>
      <c r="L17" s="35"/>
      <c r="M17" s="35"/>
      <c r="N17" s="35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30" s="21" customFormat="1" ht="18" hidden="1" customHeight="1" x14ac:dyDescent="0.35">
      <c r="A18" s="19">
        <v>108</v>
      </c>
      <c r="B18" s="19" t="s">
        <v>67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7"/>
      <c r="Z18" s="37"/>
      <c r="AA18" s="36"/>
      <c r="AB18" s="36"/>
      <c r="AC18" s="36"/>
    </row>
    <row r="19" spans="1:30" s="21" customFormat="1" ht="18" hidden="1" customHeight="1" x14ac:dyDescent="0.35">
      <c r="A19" s="19">
        <v>109</v>
      </c>
      <c r="B19" s="19" t="s">
        <v>68</v>
      </c>
      <c r="I19" s="22"/>
      <c r="J19" s="22"/>
      <c r="K19" s="38" t="s">
        <v>69</v>
      </c>
      <c r="L19" s="22"/>
      <c r="M19" s="22"/>
      <c r="N19" s="38" t="s">
        <v>69</v>
      </c>
      <c r="O19" s="22"/>
      <c r="P19" s="22"/>
      <c r="Q19" s="22"/>
      <c r="R19" s="22"/>
      <c r="S19" s="39" t="s">
        <v>70</v>
      </c>
      <c r="W19" s="21" t="s">
        <v>71</v>
      </c>
      <c r="Y19" s="22"/>
      <c r="Z19" s="22"/>
      <c r="AA19" s="38" t="s">
        <v>72</v>
      </c>
      <c r="AB19" s="22"/>
      <c r="AC19" s="22"/>
    </row>
    <row r="20" spans="1:30" ht="9" hidden="1" customHeight="1" x14ac:dyDescent="0.3"/>
    <row r="21" spans="1:30" ht="15" hidden="1" customHeight="1" x14ac:dyDescent="0.3">
      <c r="A21" s="118" t="s">
        <v>73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20"/>
    </row>
    <row r="22" spans="1:30" s="21" customFormat="1" ht="18" hidden="1" customHeight="1" x14ac:dyDescent="0.35">
      <c r="A22" s="19">
        <v>201</v>
      </c>
      <c r="B22" s="21" t="s">
        <v>74</v>
      </c>
      <c r="P22" s="30"/>
      <c r="Q22" s="28" t="s">
        <v>64</v>
      </c>
      <c r="R22" s="28"/>
      <c r="S22" s="28"/>
      <c r="T22" s="28" t="s">
        <v>65</v>
      </c>
    </row>
    <row r="23" spans="1:30" s="21" customFormat="1" ht="18" hidden="1" customHeight="1" x14ac:dyDescent="0.35">
      <c r="A23" s="19">
        <f>+A22+1</f>
        <v>202</v>
      </c>
      <c r="B23" s="21" t="s">
        <v>75</v>
      </c>
      <c r="P23" s="27"/>
      <c r="Q23" s="35"/>
      <c r="R23" s="35"/>
      <c r="S23" s="35"/>
      <c r="U23" s="28" t="s">
        <v>76</v>
      </c>
    </row>
    <row r="24" spans="1:30" s="21" customFormat="1" ht="18" hidden="1" customHeight="1" x14ac:dyDescent="0.35">
      <c r="A24" s="19">
        <f>+A23+1</f>
        <v>203</v>
      </c>
      <c r="B24" s="21" t="s">
        <v>77</v>
      </c>
      <c r="P24" s="26"/>
      <c r="Q24" s="28"/>
      <c r="R24" s="28"/>
      <c r="W24" s="35"/>
      <c r="X24" s="35"/>
      <c r="Y24" s="22"/>
      <c r="Z24" s="22"/>
      <c r="AA24" s="22"/>
      <c r="AB24" s="39" t="s">
        <v>78</v>
      </c>
    </row>
    <row r="25" spans="1:30" s="21" customFormat="1" ht="18" hidden="1" customHeight="1" x14ac:dyDescent="0.35">
      <c r="A25" s="19">
        <f>+A24+1</f>
        <v>204</v>
      </c>
      <c r="B25" s="21" t="s">
        <v>79</v>
      </c>
      <c r="P25" s="27"/>
      <c r="Q25" s="35"/>
      <c r="R25" s="28"/>
      <c r="S25" s="39">
        <v>1</v>
      </c>
      <c r="T25" s="39" t="s">
        <v>80</v>
      </c>
      <c r="U25" s="39"/>
      <c r="V25" s="39"/>
      <c r="W25" s="28"/>
      <c r="X25" s="28"/>
      <c r="Y25" s="39"/>
      <c r="Z25" s="39"/>
      <c r="AB25" s="39"/>
    </row>
    <row r="26" spans="1:30" s="21" customFormat="1" ht="18" hidden="1" customHeight="1" x14ac:dyDescent="0.35">
      <c r="A26" s="19">
        <f>+A25+1</f>
        <v>205</v>
      </c>
      <c r="B26" s="19" t="s">
        <v>81</v>
      </c>
      <c r="K26" s="26"/>
      <c r="L26" s="28"/>
      <c r="M26" s="39"/>
      <c r="N26" s="39"/>
      <c r="O26" s="39"/>
      <c r="P26" s="27"/>
      <c r="Q26" s="35"/>
      <c r="R26" s="28"/>
      <c r="S26" s="39">
        <v>1</v>
      </c>
      <c r="T26" s="39" t="s">
        <v>80</v>
      </c>
      <c r="U26" s="39"/>
      <c r="V26" s="39"/>
      <c r="W26" s="28"/>
      <c r="X26" s="28"/>
      <c r="Y26" s="39"/>
    </row>
    <row r="27" spans="1:30" s="21" customFormat="1" ht="18" hidden="1" customHeight="1" x14ac:dyDescent="0.35">
      <c r="A27" s="19">
        <f>+A26+1</f>
        <v>206</v>
      </c>
      <c r="B27" s="19" t="s">
        <v>82</v>
      </c>
      <c r="K27" s="26"/>
      <c r="L27" s="28"/>
      <c r="M27" s="39"/>
      <c r="N27" s="39"/>
      <c r="O27" s="39"/>
      <c r="P27" s="26"/>
      <c r="Q27" s="28"/>
      <c r="R27" s="28"/>
      <c r="S27" s="39"/>
      <c r="T27" s="39"/>
      <c r="U27" s="40"/>
      <c r="V27" s="39">
        <v>1</v>
      </c>
      <c r="W27" s="28" t="s">
        <v>83</v>
      </c>
      <c r="X27" s="28"/>
      <c r="Y27" s="39"/>
    </row>
    <row r="28" spans="1:30" s="21" customFormat="1" ht="18" hidden="1" customHeight="1" x14ac:dyDescent="0.35">
      <c r="A28" s="19"/>
      <c r="B28" s="19"/>
      <c r="K28" s="26"/>
      <c r="L28" s="28"/>
      <c r="M28" s="39"/>
      <c r="N28" s="39"/>
      <c r="O28" s="39"/>
      <c r="P28" s="26"/>
      <c r="Q28" s="28"/>
      <c r="R28" s="28"/>
      <c r="S28" s="39"/>
      <c r="T28" s="39"/>
      <c r="U28" s="39"/>
      <c r="V28" s="39">
        <v>2</v>
      </c>
      <c r="W28" s="28" t="s">
        <v>84</v>
      </c>
      <c r="X28" s="28"/>
      <c r="Y28" s="39"/>
    </row>
    <row r="29" spans="1:30" s="21" customFormat="1" ht="18" hidden="1" customHeight="1" x14ac:dyDescent="0.35">
      <c r="A29" s="19"/>
      <c r="B29" s="19"/>
      <c r="K29" s="26"/>
      <c r="L29" s="28"/>
      <c r="M29" s="39"/>
      <c r="N29" s="39"/>
      <c r="O29" s="39"/>
      <c r="P29" s="26"/>
      <c r="Q29" s="28"/>
      <c r="R29" s="28"/>
      <c r="S29" s="39"/>
      <c r="T29" s="39"/>
      <c r="U29" s="39"/>
      <c r="V29" s="28">
        <v>3</v>
      </c>
      <c r="W29" s="39" t="s">
        <v>85</v>
      </c>
      <c r="X29" s="28"/>
      <c r="Y29" s="39"/>
    </row>
    <row r="30" spans="1:30" s="21" customFormat="1" ht="18" hidden="1" customHeight="1" x14ac:dyDescent="0.35">
      <c r="A30" s="41">
        <f>A27+1</f>
        <v>207</v>
      </c>
      <c r="B30" s="19" t="s">
        <v>86</v>
      </c>
      <c r="K30" s="26"/>
      <c r="L30" s="28"/>
      <c r="M30" s="39"/>
      <c r="N30" s="39"/>
      <c r="O30" s="39"/>
      <c r="P30" s="26"/>
      <c r="Q30" s="28"/>
      <c r="R30" s="28"/>
      <c r="S30" s="39"/>
      <c r="W30" s="39" t="s">
        <v>87</v>
      </c>
      <c r="X30" s="42"/>
      <c r="Y30" s="33"/>
      <c r="Z30" s="42"/>
      <c r="AA30" s="22"/>
      <c r="AB30" s="28" t="s">
        <v>88</v>
      </c>
    </row>
    <row r="31" spans="1:30" s="21" customFormat="1" ht="18" hidden="1" customHeight="1" x14ac:dyDescent="0.35">
      <c r="A31" s="41">
        <f>+A30+1</f>
        <v>208</v>
      </c>
      <c r="B31" s="19" t="s">
        <v>89</v>
      </c>
      <c r="K31" s="26"/>
      <c r="L31" s="28"/>
      <c r="M31" s="39"/>
      <c r="N31" s="39"/>
      <c r="O31" s="39"/>
      <c r="P31" s="43"/>
      <c r="Q31" s="28"/>
      <c r="R31" s="39"/>
      <c r="S31" s="39"/>
      <c r="T31" s="39"/>
      <c r="U31" s="43"/>
      <c r="V31" s="28"/>
      <c r="W31" s="35"/>
      <c r="X31" s="35"/>
      <c r="Y31" s="22"/>
      <c r="Z31" s="22"/>
      <c r="AA31" s="22"/>
      <c r="AB31" s="39" t="s">
        <v>78</v>
      </c>
    </row>
    <row r="32" spans="1:30" s="21" customFormat="1" ht="18" hidden="1" customHeight="1" x14ac:dyDescent="0.35">
      <c r="A32" s="19">
        <f>+A31+1</f>
        <v>209</v>
      </c>
      <c r="B32" s="19" t="s">
        <v>90</v>
      </c>
      <c r="H32" s="22"/>
      <c r="I32" s="39">
        <v>1</v>
      </c>
      <c r="J32" s="39" t="s">
        <v>91</v>
      </c>
      <c r="K32" s="26"/>
      <c r="L32" s="28"/>
      <c r="M32" s="39"/>
      <c r="N32" s="39">
        <v>3</v>
      </c>
      <c r="O32" s="39" t="s">
        <v>92</v>
      </c>
      <c r="P32" s="43"/>
      <c r="Q32" s="28"/>
      <c r="R32" s="39">
        <v>5</v>
      </c>
      <c r="S32" s="39" t="s">
        <v>93</v>
      </c>
      <c r="T32" s="39"/>
      <c r="U32" s="43"/>
      <c r="V32" s="39">
        <v>7</v>
      </c>
      <c r="W32" s="39" t="s">
        <v>94</v>
      </c>
      <c r="X32" s="28"/>
      <c r="AB32" s="39"/>
    </row>
    <row r="33" spans="1:30" s="21" customFormat="1" ht="18" hidden="1" customHeight="1" x14ac:dyDescent="0.35">
      <c r="A33" s="19"/>
      <c r="B33" s="19"/>
      <c r="I33" s="39">
        <v>2</v>
      </c>
      <c r="J33" s="39" t="s">
        <v>95</v>
      </c>
      <c r="K33" s="26"/>
      <c r="L33" s="28"/>
      <c r="M33" s="39"/>
      <c r="N33" s="39">
        <v>4</v>
      </c>
      <c r="O33" s="39" t="s">
        <v>96</v>
      </c>
      <c r="P33" s="43"/>
      <c r="Q33" s="28"/>
      <c r="R33" s="39">
        <v>6</v>
      </c>
      <c r="S33" s="39" t="s">
        <v>97</v>
      </c>
      <c r="T33" s="39"/>
      <c r="U33" s="43"/>
      <c r="V33" s="28">
        <v>8</v>
      </c>
      <c r="W33" s="28" t="s">
        <v>98</v>
      </c>
      <c r="X33" s="28"/>
      <c r="AB33" s="39"/>
    </row>
    <row r="34" spans="1:30" s="21" customFormat="1" ht="18" hidden="1" customHeight="1" x14ac:dyDescent="0.35">
      <c r="A34" s="19">
        <f>+A32+1</f>
        <v>210</v>
      </c>
      <c r="B34" s="19" t="s">
        <v>99</v>
      </c>
      <c r="H34" s="22"/>
      <c r="I34" s="39">
        <v>1</v>
      </c>
      <c r="J34" s="39" t="s">
        <v>100</v>
      </c>
      <c r="K34" s="26"/>
      <c r="L34" s="28"/>
      <c r="M34" s="39"/>
      <c r="N34" s="39"/>
      <c r="Q34" s="28"/>
      <c r="R34" s="39">
        <v>3</v>
      </c>
      <c r="S34" s="39" t="s">
        <v>101</v>
      </c>
      <c r="T34" s="39"/>
      <c r="U34" s="43"/>
      <c r="V34" s="28"/>
      <c r="W34" s="28"/>
      <c r="X34" s="28"/>
      <c r="AB34" s="39"/>
    </row>
    <row r="35" spans="1:30" s="21" customFormat="1" ht="18" hidden="1" customHeight="1" x14ac:dyDescent="0.35">
      <c r="A35" s="19"/>
      <c r="B35" s="19"/>
      <c r="I35" s="39">
        <v>2</v>
      </c>
      <c r="J35" s="28" t="s">
        <v>102</v>
      </c>
      <c r="K35" s="26"/>
      <c r="L35" s="28"/>
      <c r="M35" s="39"/>
      <c r="N35" s="39"/>
      <c r="O35" s="39"/>
      <c r="P35" s="28"/>
      <c r="Q35" s="28"/>
      <c r="R35" s="39">
        <v>4</v>
      </c>
      <c r="S35" s="39" t="s">
        <v>103</v>
      </c>
      <c r="T35" s="39"/>
      <c r="U35" s="43"/>
      <c r="V35" s="28"/>
      <c r="W35" s="28"/>
      <c r="X35" s="28"/>
      <c r="AB35" s="39"/>
    </row>
    <row r="36" spans="1:30" s="21" customFormat="1" ht="18" hidden="1" customHeight="1" x14ac:dyDescent="0.35">
      <c r="A36" s="19">
        <v>211</v>
      </c>
      <c r="B36" s="19" t="s">
        <v>104</v>
      </c>
      <c r="L36" s="29"/>
      <c r="M36" s="28"/>
      <c r="N36" s="39"/>
      <c r="O36" s="40"/>
      <c r="P36" s="39">
        <v>1</v>
      </c>
      <c r="Q36" s="43" t="s">
        <v>105</v>
      </c>
      <c r="R36" s="28"/>
      <c r="S36" s="39"/>
      <c r="T36" s="39"/>
      <c r="U36" s="39"/>
      <c r="V36" s="43"/>
      <c r="W36" s="28">
        <v>4</v>
      </c>
      <c r="X36" s="28" t="s">
        <v>96</v>
      </c>
    </row>
    <row r="37" spans="1:30" s="21" customFormat="1" ht="18" hidden="1" customHeight="1" x14ac:dyDescent="0.35">
      <c r="A37" s="19"/>
      <c r="B37" s="19"/>
      <c r="L37" s="29"/>
      <c r="M37" s="28"/>
      <c r="N37" s="39"/>
      <c r="O37" s="39"/>
      <c r="P37" s="39">
        <v>2</v>
      </c>
      <c r="Q37" s="43" t="s">
        <v>106</v>
      </c>
      <c r="R37" s="28"/>
      <c r="S37" s="39"/>
      <c r="T37" s="39"/>
      <c r="U37" s="39"/>
      <c r="V37" s="43"/>
      <c r="W37" s="28">
        <v>5</v>
      </c>
      <c r="X37" s="28" t="s">
        <v>98</v>
      </c>
    </row>
    <row r="38" spans="1:30" s="21" customFormat="1" ht="18" hidden="1" customHeight="1" x14ac:dyDescent="0.35">
      <c r="A38" s="19"/>
      <c r="B38" s="19"/>
      <c r="L38" s="29"/>
      <c r="M38" s="28"/>
      <c r="N38" s="39"/>
      <c r="O38" s="39"/>
      <c r="P38" s="28">
        <v>3</v>
      </c>
      <c r="Q38" s="39" t="s">
        <v>107</v>
      </c>
      <c r="R38" s="28"/>
      <c r="S38" s="39"/>
      <c r="T38" s="39"/>
      <c r="U38" s="39"/>
      <c r="V38" s="43"/>
    </row>
    <row r="39" spans="1:30" s="21" customFormat="1" ht="18" hidden="1" customHeight="1" x14ac:dyDescent="0.35">
      <c r="A39" s="19">
        <f>A36+1</f>
        <v>212</v>
      </c>
      <c r="B39" s="19" t="s">
        <v>108</v>
      </c>
      <c r="L39" s="29"/>
      <c r="M39" s="28"/>
      <c r="N39" s="39"/>
      <c r="O39" s="39"/>
      <c r="P39" s="39" t="s">
        <v>109</v>
      </c>
      <c r="Q39" s="43"/>
      <c r="R39" s="28"/>
      <c r="S39" s="39"/>
      <c r="T39" s="39"/>
      <c r="U39" s="39"/>
      <c r="V39" s="43"/>
      <c r="W39" s="28"/>
      <c r="X39" s="28"/>
    </row>
    <row r="40" spans="1:30" s="21" customFormat="1" ht="18" hidden="1" customHeight="1" x14ac:dyDescent="0.35">
      <c r="A40" s="19"/>
      <c r="B40" s="19" t="s">
        <v>110</v>
      </c>
      <c r="L40" s="29"/>
      <c r="M40" s="28"/>
      <c r="N40" s="39"/>
      <c r="O40" s="39"/>
      <c r="P40" s="39"/>
      <c r="Q40" s="43"/>
      <c r="R40" s="28"/>
      <c r="S40" s="39"/>
      <c r="T40" s="39"/>
      <c r="U40" s="39"/>
      <c r="V40" s="43"/>
      <c r="W40" s="28"/>
      <c r="X40" s="28"/>
    </row>
    <row r="41" spans="1:30" s="21" customFormat="1" ht="18" hidden="1" customHeight="1" x14ac:dyDescent="0.3">
      <c r="A41" s="118" t="s">
        <v>111</v>
      </c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</row>
    <row r="42" spans="1:30" s="19" customFormat="1" ht="18" hidden="1" customHeight="1" x14ac:dyDescent="0.35">
      <c r="A42" s="19">
        <v>301</v>
      </c>
      <c r="B42" s="19" t="s">
        <v>112</v>
      </c>
      <c r="C42" s="44"/>
      <c r="H42" s="45"/>
      <c r="L42" s="45"/>
      <c r="O42" s="45"/>
      <c r="P42" s="39"/>
      <c r="R42" s="45"/>
      <c r="V42" s="45"/>
      <c r="W42" s="46"/>
      <c r="X42" s="39" t="s">
        <v>113</v>
      </c>
      <c r="AA42" s="45"/>
    </row>
    <row r="43" spans="1:30" s="19" customFormat="1" ht="18" hidden="1" customHeight="1" x14ac:dyDescent="0.35">
      <c r="A43" s="41">
        <f>A42+1</f>
        <v>302</v>
      </c>
      <c r="B43" s="19" t="s">
        <v>114</v>
      </c>
      <c r="C43" s="44"/>
      <c r="H43" s="45"/>
      <c r="L43" s="45"/>
      <c r="O43" s="45"/>
      <c r="P43" s="39"/>
      <c r="R43" s="45"/>
      <c r="V43" s="45" t="s">
        <v>87</v>
      </c>
      <c r="W43" s="47"/>
      <c r="X43" s="47"/>
      <c r="Y43" s="47"/>
      <c r="Z43" s="47"/>
      <c r="AA43" s="45" t="s">
        <v>88</v>
      </c>
    </row>
    <row r="44" spans="1:30" s="21" customFormat="1" ht="18" hidden="1" customHeight="1" x14ac:dyDescent="0.35">
      <c r="A44" s="19">
        <f>A43+1</f>
        <v>303</v>
      </c>
      <c r="B44" s="48" t="s">
        <v>115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</row>
    <row r="45" spans="1:30" s="21" customFormat="1" ht="18" hidden="1" customHeight="1" x14ac:dyDescent="0.35">
      <c r="A45" s="19"/>
      <c r="B45" s="50" t="s">
        <v>116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X45" s="51"/>
      <c r="Y45" s="52"/>
      <c r="Z45" s="52"/>
      <c r="AA45" s="53" t="s">
        <v>117</v>
      </c>
      <c r="AB45" s="51"/>
      <c r="AC45" s="51"/>
      <c r="AD45" s="51"/>
    </row>
    <row r="46" spans="1:30" s="21" customFormat="1" ht="18" hidden="1" customHeight="1" x14ac:dyDescent="0.35">
      <c r="A46" s="19">
        <v>304</v>
      </c>
      <c r="B46" s="19" t="s">
        <v>118</v>
      </c>
      <c r="C46" s="19"/>
      <c r="D46" s="19"/>
      <c r="E46" s="19"/>
      <c r="F46" s="19"/>
      <c r="G46" s="19"/>
      <c r="H46" s="19"/>
      <c r="I46" s="19"/>
      <c r="J46" s="19"/>
      <c r="K46" s="19"/>
      <c r="L46" s="34"/>
      <c r="M46" s="45">
        <v>1</v>
      </c>
      <c r="N46" s="45" t="s">
        <v>119</v>
      </c>
      <c r="O46" s="19"/>
      <c r="P46" s="19"/>
      <c r="Q46" s="45">
        <v>2</v>
      </c>
      <c r="R46" s="45" t="s">
        <v>120</v>
      </c>
      <c r="S46" s="19"/>
      <c r="T46" s="45">
        <v>3</v>
      </c>
      <c r="U46" s="45" t="s">
        <v>96</v>
      </c>
      <c r="V46" s="19"/>
      <c r="W46" s="45">
        <v>4</v>
      </c>
      <c r="X46" s="45" t="s">
        <v>121</v>
      </c>
      <c r="Y46" s="19"/>
      <c r="Z46" s="19"/>
      <c r="AA46" s="19"/>
      <c r="AB46" s="45"/>
      <c r="AC46" s="19"/>
      <c r="AD46" s="19"/>
    </row>
    <row r="47" spans="1:30" ht="14.5" hidden="1" x14ac:dyDescent="0.3">
      <c r="A47" s="41">
        <v>305</v>
      </c>
      <c r="B47" s="54" t="s">
        <v>122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6"/>
      <c r="Q47" s="57"/>
      <c r="R47" s="55"/>
      <c r="S47" s="55"/>
      <c r="T47" s="55"/>
      <c r="U47" s="55"/>
      <c r="V47" s="55"/>
      <c r="W47" s="58"/>
      <c r="X47" s="57" t="s">
        <v>64</v>
      </c>
      <c r="Y47" s="57"/>
      <c r="Z47" s="57"/>
      <c r="AA47" s="57" t="s">
        <v>65</v>
      </c>
      <c r="AB47" s="55"/>
      <c r="AC47" s="59"/>
    </row>
    <row r="48" spans="1:30" ht="14.5" hidden="1" x14ac:dyDescent="0.3">
      <c r="A48" s="60"/>
      <c r="B48" s="61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62"/>
      <c r="Q48" s="63"/>
      <c r="R48" s="59"/>
      <c r="S48" s="59"/>
      <c r="T48" s="59"/>
      <c r="U48" s="59"/>
      <c r="V48" s="59"/>
      <c r="W48" s="59"/>
      <c r="X48" s="63"/>
      <c r="Y48" s="63"/>
      <c r="Z48" s="63"/>
      <c r="AA48" s="63"/>
      <c r="AB48" s="59"/>
      <c r="AC48" s="59"/>
    </row>
    <row r="49" spans="1:31" ht="14.5" hidden="1" x14ac:dyDescent="0.35">
      <c r="A49" s="120" t="s">
        <v>123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64"/>
    </row>
    <row r="50" spans="1:31" ht="32.25" hidden="1" customHeight="1" x14ac:dyDescent="0.35">
      <c r="A50" s="121" t="s">
        <v>124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/>
    </row>
    <row r="51" spans="1:31" ht="14.5" hidden="1" x14ac:dyDescent="0.35">
      <c r="A51" s="14" t="s">
        <v>125</v>
      </c>
      <c r="B51" s="14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1:31" ht="14.5" hidden="1" x14ac:dyDescent="0.35">
      <c r="A52" s="14" t="s">
        <v>126</v>
      </c>
      <c r="B52" s="14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1" ht="14.5" hidden="1" x14ac:dyDescent="0.35">
      <c r="A53" s="14" t="s">
        <v>127</v>
      </c>
      <c r="B53" s="14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1:31" ht="14.5" hidden="1" x14ac:dyDescent="0.35">
      <c r="A54" s="14" t="s">
        <v>128</v>
      </c>
      <c r="B54" s="1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1" ht="14.5" hidden="1" x14ac:dyDescent="0.3">
      <c r="A55" s="14" t="s">
        <v>129</v>
      </c>
    </row>
    <row r="56" spans="1:31" ht="14.5" hidden="1" x14ac:dyDescent="0.3">
      <c r="A56" s="14"/>
    </row>
    <row r="57" spans="1:31" x14ac:dyDescent="0.3">
      <c r="A57" s="122" t="s">
        <v>130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E57" s="16" t="s">
        <v>131</v>
      </c>
    </row>
    <row r="58" spans="1:31" x14ac:dyDescent="0.3">
      <c r="A58" s="122" t="s">
        <v>52</v>
      </c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9"/>
      <c r="AE58" s="16">
        <f>SUM(AE59:AE179)</f>
        <v>33</v>
      </c>
    </row>
    <row r="59" spans="1:31" x14ac:dyDescent="0.3">
      <c r="A59" s="123" t="s">
        <v>132</v>
      </c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9"/>
    </row>
    <row r="60" spans="1:31" ht="14.25" customHeight="1" x14ac:dyDescent="0.3">
      <c r="A60" s="124" t="s">
        <v>54</v>
      </c>
      <c r="B60" s="124"/>
      <c r="C60" s="124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spans="1:31" ht="20" x14ac:dyDescent="0.3">
      <c r="A61" s="65" t="s">
        <v>55</v>
      </c>
      <c r="B61" s="66"/>
      <c r="C61" s="67"/>
      <c r="D61" s="67"/>
      <c r="E61" s="67"/>
      <c r="F61" s="67" t="s">
        <v>56</v>
      </c>
      <c r="G61" s="67"/>
      <c r="H61" s="67" t="s">
        <v>57</v>
      </c>
      <c r="I61" s="67">
        <v>45</v>
      </c>
      <c r="J61" s="67" t="s">
        <v>58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</row>
    <row r="62" spans="1:31" x14ac:dyDescent="0.3">
      <c r="A62" s="125" t="s">
        <v>59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20"/>
    </row>
    <row r="63" spans="1:31" x14ac:dyDescent="0.3">
      <c r="A63" s="19">
        <v>101</v>
      </c>
      <c r="B63" s="19" t="s">
        <v>1</v>
      </c>
      <c r="C63" s="21"/>
      <c r="D63" s="21"/>
      <c r="E63" s="21"/>
      <c r="F63" s="21"/>
      <c r="G63" s="21"/>
      <c r="H63" s="21"/>
      <c r="I63" s="21" t="s">
        <v>57</v>
      </c>
      <c r="J63" s="36"/>
      <c r="K63" s="36"/>
      <c r="L63" s="37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21"/>
    </row>
    <row r="64" spans="1:31" x14ac:dyDescent="0.3">
      <c r="A64" s="19">
        <v>102</v>
      </c>
      <c r="B64" s="19" t="s">
        <v>48</v>
      </c>
      <c r="C64" s="21"/>
      <c r="D64" s="21"/>
      <c r="E64" s="21"/>
      <c r="F64" s="21"/>
      <c r="G64" s="21"/>
      <c r="H64" s="21"/>
      <c r="I64" s="21" t="s">
        <v>57</v>
      </c>
      <c r="J64" s="22"/>
      <c r="K64" s="24"/>
      <c r="L64" s="23"/>
      <c r="M64" s="25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1"/>
    </row>
    <row r="65" spans="1:31" x14ac:dyDescent="0.3">
      <c r="A65" s="19">
        <v>103</v>
      </c>
      <c r="B65" s="19" t="s">
        <v>47</v>
      </c>
      <c r="C65" s="21"/>
      <c r="D65" s="21"/>
      <c r="E65" s="21"/>
      <c r="F65" s="21"/>
      <c r="G65" s="21"/>
      <c r="H65" s="21"/>
      <c r="I65" s="21" t="s">
        <v>57</v>
      </c>
      <c r="J65" s="22"/>
      <c r="K65" s="24"/>
      <c r="L65" s="22"/>
      <c r="M65" s="25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1"/>
    </row>
    <row r="66" spans="1:31" ht="14.5" x14ac:dyDescent="0.3">
      <c r="A66" s="19">
        <v>104</v>
      </c>
      <c r="B66" s="19" t="s">
        <v>133</v>
      </c>
      <c r="C66" s="21"/>
      <c r="D66" s="21"/>
      <c r="E66" s="21"/>
      <c r="F66" s="21"/>
      <c r="G66" s="21"/>
      <c r="H66" s="21"/>
      <c r="I66" s="21"/>
      <c r="J66" s="68"/>
      <c r="K66" s="28" t="s">
        <v>64</v>
      </c>
      <c r="L66" s="28"/>
      <c r="M66" s="28"/>
      <c r="N66" s="28" t="s">
        <v>134</v>
      </c>
      <c r="O66" s="28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1"/>
    </row>
    <row r="67" spans="1:31" ht="14.5" x14ac:dyDescent="0.3">
      <c r="A67" s="19">
        <v>105</v>
      </c>
      <c r="B67" s="19" t="s">
        <v>135</v>
      </c>
      <c r="C67" s="21"/>
      <c r="D67" s="21"/>
      <c r="E67" s="21"/>
      <c r="F67" s="21"/>
      <c r="G67" s="21"/>
      <c r="H67" s="21"/>
      <c r="I67" s="21" t="s">
        <v>57</v>
      </c>
      <c r="J67" s="27"/>
      <c r="K67" s="28">
        <v>1</v>
      </c>
      <c r="L67" s="28" t="s">
        <v>136</v>
      </c>
      <c r="M67" s="28"/>
      <c r="N67" s="26"/>
      <c r="O67" s="28"/>
      <c r="P67" s="26"/>
      <c r="Q67" s="26"/>
      <c r="R67" s="26"/>
      <c r="S67" s="26"/>
      <c r="T67" s="26"/>
      <c r="U67" s="28">
        <v>5</v>
      </c>
      <c r="V67" s="28" t="s">
        <v>137</v>
      </c>
      <c r="W67" s="26"/>
      <c r="X67" s="26"/>
      <c r="Y67" s="26"/>
      <c r="Z67" s="26"/>
      <c r="AA67" s="26"/>
      <c r="AB67" s="26"/>
      <c r="AC67" s="26"/>
      <c r="AD67" s="21"/>
    </row>
    <row r="68" spans="1:31" ht="14.5" x14ac:dyDescent="0.3">
      <c r="B68" s="19" t="s">
        <v>138</v>
      </c>
      <c r="C68" s="21"/>
      <c r="D68" s="21"/>
      <c r="E68" s="21"/>
      <c r="F68" s="21"/>
      <c r="G68" s="21"/>
      <c r="H68" s="21"/>
      <c r="I68" s="21"/>
      <c r="J68" s="26"/>
      <c r="K68" s="28">
        <v>2</v>
      </c>
      <c r="L68" s="28" t="s">
        <v>139</v>
      </c>
      <c r="M68" s="28"/>
      <c r="N68" s="26"/>
      <c r="O68" s="28"/>
      <c r="P68" s="26"/>
      <c r="Q68" s="26"/>
      <c r="R68" s="26"/>
      <c r="S68" s="26"/>
      <c r="T68" s="26"/>
      <c r="U68" s="28">
        <v>6</v>
      </c>
      <c r="V68" s="28" t="s">
        <v>140</v>
      </c>
      <c r="W68" s="26"/>
      <c r="X68" s="26"/>
      <c r="Y68" s="26"/>
      <c r="Z68" s="26"/>
      <c r="AA68" s="26"/>
      <c r="AB68" s="26"/>
      <c r="AC68" s="26"/>
      <c r="AD68" s="21"/>
    </row>
    <row r="69" spans="1:31" ht="14.5" x14ac:dyDescent="0.3">
      <c r="C69" s="21"/>
      <c r="D69" s="21"/>
      <c r="E69" s="21"/>
      <c r="F69" s="21"/>
      <c r="G69" s="21"/>
      <c r="H69" s="21"/>
      <c r="I69" s="21"/>
      <c r="J69" s="26"/>
      <c r="K69" s="28">
        <v>3</v>
      </c>
      <c r="L69" s="28" t="s">
        <v>141</v>
      </c>
      <c r="M69" s="28"/>
      <c r="N69" s="26"/>
      <c r="O69" s="28"/>
      <c r="P69" s="26"/>
      <c r="Q69" s="26"/>
      <c r="R69" s="26"/>
      <c r="S69" s="26"/>
      <c r="T69" s="26"/>
      <c r="U69" s="28">
        <v>7</v>
      </c>
      <c r="V69" s="28" t="s">
        <v>142</v>
      </c>
      <c r="W69" s="26"/>
      <c r="X69" s="26"/>
      <c r="Y69" s="26"/>
      <c r="Z69" s="26"/>
      <c r="AA69" s="26"/>
      <c r="AB69" s="26"/>
      <c r="AC69" s="26"/>
      <c r="AD69" s="21"/>
    </row>
    <row r="70" spans="1:31" ht="14.5" x14ac:dyDescent="0.3">
      <c r="C70" s="21"/>
      <c r="D70" s="21"/>
      <c r="E70" s="21"/>
      <c r="F70" s="21"/>
      <c r="G70" s="21"/>
      <c r="H70" s="21"/>
      <c r="I70" s="21"/>
      <c r="J70" s="26"/>
      <c r="K70" s="28">
        <v>4</v>
      </c>
      <c r="L70" s="28" t="s">
        <v>143</v>
      </c>
      <c r="M70" s="28"/>
      <c r="N70" s="26"/>
      <c r="O70" s="28"/>
      <c r="P70" s="26"/>
      <c r="Q70" s="26"/>
      <c r="R70" s="26"/>
      <c r="S70" s="26"/>
      <c r="T70" s="26"/>
      <c r="U70" s="26">
        <v>8</v>
      </c>
      <c r="V70" s="28" t="s">
        <v>144</v>
      </c>
      <c r="W70" s="26"/>
      <c r="X70" s="26"/>
      <c r="Y70" s="26"/>
      <c r="Z70" s="26"/>
      <c r="AA70" s="26"/>
      <c r="AB70" s="26"/>
      <c r="AC70" s="26"/>
      <c r="AD70" s="21"/>
    </row>
    <row r="71" spans="1:31" ht="14.5" x14ac:dyDescent="0.3">
      <c r="A71" s="19">
        <v>106</v>
      </c>
      <c r="B71" s="19" t="s">
        <v>145</v>
      </c>
      <c r="C71" s="21"/>
      <c r="D71" s="21"/>
      <c r="E71" s="21"/>
      <c r="F71" s="21"/>
      <c r="G71" s="21"/>
      <c r="H71" s="21"/>
      <c r="I71" s="22"/>
      <c r="J71" s="22"/>
      <c r="K71" s="38" t="s">
        <v>69</v>
      </c>
      <c r="L71" s="22"/>
      <c r="M71" s="22"/>
      <c r="N71" s="38" t="s">
        <v>69</v>
      </c>
      <c r="O71" s="22"/>
      <c r="P71" s="22"/>
      <c r="Q71" s="22"/>
      <c r="R71" s="22"/>
      <c r="S71" s="39" t="s">
        <v>70</v>
      </c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1"/>
    </row>
    <row r="72" spans="1:31" x14ac:dyDescent="0.3">
      <c r="A72" s="19">
        <f>A71+1</f>
        <v>107</v>
      </c>
      <c r="B72" s="19" t="s">
        <v>49</v>
      </c>
      <c r="C72" s="21"/>
      <c r="D72" s="21"/>
      <c r="E72" s="21"/>
      <c r="F72" s="21"/>
      <c r="G72" s="21"/>
      <c r="H72" s="21"/>
      <c r="I72" s="21" t="s">
        <v>61</v>
      </c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1"/>
    </row>
    <row r="73" spans="1:31" ht="14.5" x14ac:dyDescent="0.3">
      <c r="A73" s="19">
        <f>A72+1</f>
        <v>108</v>
      </c>
      <c r="B73" s="19" t="s">
        <v>146</v>
      </c>
      <c r="C73" s="21"/>
      <c r="D73" s="21"/>
      <c r="E73" s="21"/>
      <c r="F73" s="21"/>
      <c r="G73" s="21"/>
      <c r="H73" s="21"/>
      <c r="I73" s="26" t="s">
        <v>57</v>
      </c>
      <c r="J73" s="85"/>
      <c r="K73" s="39" t="s">
        <v>147</v>
      </c>
      <c r="L73" s="21"/>
      <c r="M73" s="21"/>
      <c r="N73" s="21"/>
      <c r="O73" s="21"/>
      <c r="P73" s="39" t="s">
        <v>148</v>
      </c>
      <c r="Q73" s="21"/>
      <c r="R73" s="21"/>
      <c r="S73" s="21"/>
      <c r="T73" s="39" t="s">
        <v>149</v>
      </c>
      <c r="U73" s="21"/>
      <c r="V73" s="21"/>
      <c r="W73" s="21"/>
      <c r="X73" s="39" t="s">
        <v>150</v>
      </c>
      <c r="Y73" s="26"/>
      <c r="Z73" s="26"/>
      <c r="AA73" s="26"/>
      <c r="AB73" s="26"/>
      <c r="AC73" s="26"/>
      <c r="AD73" s="21"/>
    </row>
    <row r="74" spans="1:31" x14ac:dyDescent="0.3">
      <c r="A74" s="19">
        <f>A73+1</f>
        <v>109</v>
      </c>
      <c r="B74" s="19" t="s">
        <v>67</v>
      </c>
      <c r="C74" s="21"/>
      <c r="D74" s="21"/>
      <c r="E74" s="21"/>
      <c r="F74" s="21"/>
      <c r="G74" s="21"/>
      <c r="H74" s="21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21"/>
    </row>
    <row r="75" spans="1:31" x14ac:dyDescent="0.3">
      <c r="A75" s="19">
        <f>A74+1</f>
        <v>110</v>
      </c>
      <c r="B75" s="19" t="s">
        <v>68</v>
      </c>
      <c r="C75" s="21"/>
      <c r="D75" s="21"/>
      <c r="E75" s="21"/>
      <c r="F75" s="21"/>
      <c r="G75" s="21"/>
      <c r="H75" s="21"/>
      <c r="I75" s="36"/>
      <c r="J75" s="36"/>
      <c r="K75" s="38" t="s">
        <v>69</v>
      </c>
      <c r="L75" s="36"/>
      <c r="M75" s="36"/>
      <c r="N75" s="38" t="s">
        <v>69</v>
      </c>
      <c r="O75" s="36"/>
      <c r="P75" s="36"/>
      <c r="Q75" s="36"/>
      <c r="R75" s="36"/>
      <c r="S75" s="39" t="s">
        <v>70</v>
      </c>
      <c r="T75" s="21"/>
      <c r="U75" s="21"/>
      <c r="V75" s="21"/>
      <c r="W75" s="21" t="s">
        <v>71</v>
      </c>
      <c r="X75" s="21"/>
      <c r="Y75" s="36"/>
      <c r="Z75" s="36"/>
      <c r="AA75" s="38" t="s">
        <v>72</v>
      </c>
      <c r="AB75" s="36"/>
      <c r="AC75" s="36"/>
      <c r="AD75" s="21"/>
    </row>
    <row r="77" spans="1:31" x14ac:dyDescent="0.3">
      <c r="A77" s="118" t="s">
        <v>151</v>
      </c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20"/>
      <c r="AE77" s="15">
        <v>7</v>
      </c>
    </row>
    <row r="78" spans="1:31" x14ac:dyDescent="0.3">
      <c r="A78" s="19">
        <v>201</v>
      </c>
      <c r="B78" s="82" t="s">
        <v>152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O78" s="21" t="s">
        <v>153</v>
      </c>
      <c r="P78" s="21"/>
      <c r="V78" s="21"/>
      <c r="W78" s="36"/>
      <c r="X78" s="90"/>
      <c r="Y78" s="36"/>
      <c r="Z78" s="36"/>
      <c r="AA78" s="39" t="s">
        <v>154</v>
      </c>
      <c r="AB78" s="21"/>
      <c r="AC78" s="21"/>
      <c r="AD78" s="21"/>
    </row>
    <row r="79" spans="1:31" x14ac:dyDescent="0.3">
      <c r="B79" s="82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O79" s="21" t="s">
        <v>155</v>
      </c>
      <c r="P79" s="21"/>
      <c r="S79" s="21"/>
      <c r="T79" s="21"/>
      <c r="U79" s="21"/>
      <c r="V79" s="21"/>
      <c r="W79" s="22"/>
      <c r="X79" s="25"/>
      <c r="Y79" s="22"/>
      <c r="Z79" s="22"/>
      <c r="AA79" s="39" t="s">
        <v>154</v>
      </c>
      <c r="AB79" s="21"/>
      <c r="AC79" s="21"/>
      <c r="AD79" s="21"/>
    </row>
    <row r="80" spans="1:31" x14ac:dyDescent="0.3">
      <c r="B80" s="82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O80" s="21" t="s">
        <v>156</v>
      </c>
      <c r="P80" s="21"/>
      <c r="V80" s="21"/>
      <c r="W80" s="22"/>
      <c r="X80" s="25"/>
      <c r="Y80" s="22"/>
      <c r="Z80" s="22"/>
      <c r="AA80" s="39" t="s">
        <v>154</v>
      </c>
      <c r="AB80" s="21"/>
      <c r="AC80" s="21"/>
      <c r="AD80" s="21"/>
    </row>
    <row r="81" spans="1:31" x14ac:dyDescent="0.3">
      <c r="B81" s="82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O81" s="21" t="s">
        <v>157</v>
      </c>
      <c r="P81" s="21"/>
      <c r="S81" s="21"/>
      <c r="T81" s="21"/>
      <c r="U81" s="21"/>
      <c r="V81" s="21"/>
      <c r="W81" s="22"/>
      <c r="X81" s="22"/>
      <c r="Y81" s="22"/>
      <c r="Z81" s="22"/>
      <c r="AA81" s="39" t="s">
        <v>154</v>
      </c>
      <c r="AB81" s="21"/>
      <c r="AC81" s="21"/>
      <c r="AD81" s="21"/>
    </row>
    <row r="82" spans="1:31" x14ac:dyDescent="0.3"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O82" s="21" t="s">
        <v>158</v>
      </c>
      <c r="P82" s="21"/>
      <c r="S82" s="21"/>
      <c r="T82" s="21"/>
      <c r="U82" s="21"/>
      <c r="V82" s="21"/>
      <c r="W82" s="22"/>
      <c r="X82" s="22"/>
      <c r="Y82" s="22"/>
      <c r="Z82" s="22"/>
      <c r="AA82" s="39" t="s">
        <v>154</v>
      </c>
      <c r="AB82" s="21"/>
      <c r="AC82" s="21"/>
      <c r="AD82" s="21"/>
    </row>
    <row r="83" spans="1:31" x14ac:dyDescent="0.3">
      <c r="A83" s="19">
        <v>202</v>
      </c>
      <c r="B83" s="82" t="s">
        <v>345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O83" s="21"/>
      <c r="P83" s="15" t="s">
        <v>346</v>
      </c>
      <c r="S83" s="21"/>
      <c r="T83" s="21"/>
      <c r="U83" s="21"/>
      <c r="V83" s="21"/>
      <c r="W83" s="101"/>
      <c r="X83" s="101"/>
      <c r="Y83" s="22"/>
      <c r="Z83" s="22"/>
      <c r="AA83" s="39" t="s">
        <v>154</v>
      </c>
      <c r="AB83" s="21"/>
      <c r="AC83" s="21"/>
      <c r="AD83" s="21"/>
    </row>
    <row r="84" spans="1:31" x14ac:dyDescent="0.3">
      <c r="B84" s="82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O84" s="21"/>
      <c r="P84" s="15" t="s">
        <v>350</v>
      </c>
      <c r="S84" s="21"/>
      <c r="T84" s="21"/>
      <c r="U84" s="21"/>
      <c r="V84" s="21"/>
      <c r="W84" s="101"/>
      <c r="X84" s="101"/>
      <c r="Y84" s="22"/>
      <c r="Z84" s="22"/>
      <c r="AA84" s="39" t="s">
        <v>154</v>
      </c>
      <c r="AB84" s="21"/>
      <c r="AC84" s="21"/>
      <c r="AD84" s="21"/>
    </row>
    <row r="85" spans="1:31" x14ac:dyDescent="0.3">
      <c r="B85" s="82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O85" s="21"/>
      <c r="P85" s="15" t="s">
        <v>347</v>
      </c>
      <c r="S85" s="21"/>
      <c r="T85" s="21"/>
      <c r="U85" s="21"/>
      <c r="V85" s="21"/>
      <c r="W85" s="101"/>
      <c r="X85" s="101"/>
      <c r="Y85" s="22"/>
      <c r="Z85" s="22"/>
      <c r="AA85" s="39" t="s">
        <v>154</v>
      </c>
      <c r="AB85" s="21"/>
      <c r="AC85" s="21"/>
      <c r="AD85" s="21"/>
    </row>
    <row r="86" spans="1:31" x14ac:dyDescent="0.3">
      <c r="B86" s="82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O86" s="21"/>
      <c r="P86" s="15" t="s">
        <v>348</v>
      </c>
      <c r="S86" s="21"/>
      <c r="T86" s="21"/>
      <c r="U86" s="21"/>
      <c r="V86" s="21"/>
      <c r="W86" s="101"/>
      <c r="X86" s="101"/>
      <c r="Y86" s="22"/>
      <c r="Z86" s="22"/>
      <c r="AA86" s="39" t="s">
        <v>154</v>
      </c>
      <c r="AB86" s="21"/>
      <c r="AC86" s="21"/>
      <c r="AD86" s="21"/>
    </row>
    <row r="87" spans="1:31" x14ac:dyDescent="0.3">
      <c r="B87" s="82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O87" s="21"/>
      <c r="P87" s="15" t="s">
        <v>349</v>
      </c>
      <c r="S87" s="21"/>
      <c r="T87" s="21"/>
      <c r="U87" s="21"/>
      <c r="V87" s="21"/>
      <c r="W87" s="101"/>
      <c r="X87" s="101"/>
      <c r="Y87" s="22"/>
      <c r="Z87" s="22"/>
      <c r="AA87" s="39" t="s">
        <v>154</v>
      </c>
      <c r="AB87" s="21"/>
      <c r="AC87" s="21"/>
      <c r="AD87" s="21"/>
    </row>
    <row r="88" spans="1:31" x14ac:dyDescent="0.3">
      <c r="A88" s="19">
        <v>203</v>
      </c>
      <c r="B88" s="69" t="s">
        <v>159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39"/>
      <c r="X88" s="21"/>
      <c r="Y88" s="22"/>
      <c r="Z88" s="22"/>
      <c r="AA88" s="39"/>
      <c r="AB88" s="39"/>
      <c r="AC88" s="21"/>
      <c r="AD88" s="21"/>
    </row>
    <row r="89" spans="1:31" ht="14.5" x14ac:dyDescent="0.3">
      <c r="A89" s="19">
        <f>A88+1</f>
        <v>204</v>
      </c>
      <c r="B89" s="19" t="s">
        <v>160</v>
      </c>
      <c r="C89" s="21"/>
      <c r="D89" s="21"/>
      <c r="E89" s="21"/>
      <c r="F89" s="21"/>
      <c r="G89" s="21"/>
      <c r="H89" s="21"/>
      <c r="I89" s="21"/>
      <c r="J89" s="21"/>
      <c r="K89" s="21"/>
      <c r="L89" s="34"/>
      <c r="M89" s="28" t="s">
        <v>161</v>
      </c>
      <c r="N89" s="39" t="s">
        <v>162</v>
      </c>
      <c r="O89" s="39"/>
      <c r="P89" s="39"/>
      <c r="Q89" s="43"/>
      <c r="R89" s="28" t="s">
        <v>163</v>
      </c>
      <c r="S89" s="39" t="s">
        <v>164</v>
      </c>
      <c r="T89" s="39"/>
      <c r="U89" s="39"/>
      <c r="V89" s="43"/>
      <c r="W89" s="28" t="s">
        <v>165</v>
      </c>
      <c r="X89" s="39" t="s">
        <v>166</v>
      </c>
      <c r="Y89" s="21"/>
      <c r="Z89" s="21"/>
      <c r="AA89" s="21"/>
      <c r="AB89" s="21"/>
      <c r="AC89" s="21"/>
      <c r="AD89" s="21"/>
    </row>
    <row r="90" spans="1:31" ht="14.5" x14ac:dyDescent="0.3">
      <c r="A90" s="19">
        <f>A89+1</f>
        <v>205</v>
      </c>
      <c r="B90" s="82" t="s">
        <v>167</v>
      </c>
      <c r="C90" s="21"/>
      <c r="D90" s="21"/>
      <c r="E90" s="21"/>
      <c r="F90" s="21"/>
      <c r="G90" s="21"/>
      <c r="H90" s="21"/>
      <c r="I90" s="21"/>
      <c r="J90" s="21"/>
      <c r="K90" s="21"/>
      <c r="L90" s="29"/>
      <c r="M90" s="28"/>
      <c r="N90" s="39"/>
      <c r="O90" s="39"/>
      <c r="P90" s="39"/>
      <c r="Q90" s="43"/>
      <c r="R90" s="28"/>
      <c r="S90" s="39"/>
      <c r="T90" s="39"/>
      <c r="U90" s="39"/>
      <c r="V90" s="43"/>
      <c r="W90" s="28"/>
      <c r="X90" s="28"/>
      <c r="Y90" s="22"/>
      <c r="Z90" s="22"/>
      <c r="AA90" s="39" t="s">
        <v>78</v>
      </c>
      <c r="AB90" s="21"/>
      <c r="AC90" s="21"/>
      <c r="AD90" s="21"/>
    </row>
    <row r="91" spans="1:31" ht="14.5" x14ac:dyDescent="0.3">
      <c r="A91" s="19">
        <f>A90+1</f>
        <v>206</v>
      </c>
      <c r="B91" s="82" t="s">
        <v>168</v>
      </c>
      <c r="C91" s="21"/>
      <c r="D91" s="21"/>
      <c r="E91" s="21"/>
      <c r="F91" s="21"/>
      <c r="G91" s="21"/>
      <c r="H91" s="21"/>
      <c r="I91" s="21"/>
      <c r="J91" s="21"/>
      <c r="K91" s="21"/>
      <c r="L91" s="29"/>
      <c r="M91" s="28"/>
      <c r="N91" s="39"/>
      <c r="O91" s="39"/>
      <c r="P91" s="39"/>
      <c r="Q91" s="43"/>
      <c r="R91" s="28"/>
      <c r="S91" s="39"/>
      <c r="T91" s="39"/>
      <c r="U91" s="39"/>
      <c r="V91" s="43"/>
      <c r="W91" s="28"/>
      <c r="X91" s="28"/>
      <c r="Y91" s="22"/>
      <c r="Z91" s="22"/>
      <c r="AA91" s="39" t="s">
        <v>78</v>
      </c>
      <c r="AB91" s="21"/>
      <c r="AC91" s="21"/>
      <c r="AD91" s="21"/>
    </row>
    <row r="92" spans="1:31" ht="14.5" x14ac:dyDescent="0.3">
      <c r="A92" s="19">
        <f>A91+1</f>
        <v>207</v>
      </c>
      <c r="B92" s="82" t="s">
        <v>169</v>
      </c>
      <c r="C92" s="21"/>
      <c r="D92" s="21"/>
      <c r="E92" s="21"/>
      <c r="F92" s="21"/>
      <c r="G92" s="21"/>
      <c r="H92" s="21"/>
      <c r="I92" s="21"/>
      <c r="J92" s="21"/>
      <c r="K92" s="21"/>
      <c r="L92" s="29"/>
      <c r="M92" s="28"/>
      <c r="N92" s="39"/>
      <c r="O92" s="39"/>
      <c r="P92" s="39"/>
      <c r="Q92" s="43"/>
      <c r="R92" s="28"/>
      <c r="S92" s="39"/>
      <c r="T92" s="39"/>
      <c r="U92" s="39"/>
      <c r="V92" s="43"/>
      <c r="W92" s="28"/>
      <c r="X92" s="28"/>
      <c r="Y92" s="22"/>
      <c r="Z92" s="22"/>
      <c r="AA92" s="39" t="s">
        <v>117</v>
      </c>
      <c r="AB92" s="21"/>
      <c r="AC92" s="21"/>
      <c r="AD92" s="21"/>
    </row>
    <row r="93" spans="1:31" ht="14.5" x14ac:dyDescent="0.3">
      <c r="A93" s="19">
        <f>A92+1</f>
        <v>208</v>
      </c>
      <c r="B93" s="19" t="s">
        <v>170</v>
      </c>
      <c r="C93" s="21"/>
      <c r="D93" s="21"/>
      <c r="E93" s="21"/>
      <c r="F93" s="21"/>
      <c r="G93" s="21"/>
      <c r="H93" s="21"/>
      <c r="I93" s="21"/>
      <c r="J93" s="21"/>
      <c r="K93" s="21"/>
      <c r="L93" s="29"/>
      <c r="M93" s="28"/>
      <c r="N93" s="21" t="s">
        <v>61</v>
      </c>
      <c r="O93" s="83"/>
      <c r="P93" s="26"/>
      <c r="Q93" s="39" t="s">
        <v>171</v>
      </c>
      <c r="R93" s="28"/>
      <c r="S93" s="28"/>
      <c r="T93" s="39" t="s">
        <v>172</v>
      </c>
      <c r="U93" s="80"/>
      <c r="V93" s="43"/>
      <c r="W93" s="39" t="s">
        <v>173</v>
      </c>
      <c r="X93" s="39"/>
      <c r="Y93" s="39"/>
      <c r="Z93" s="39" t="s">
        <v>174</v>
      </c>
      <c r="AA93" s="39"/>
      <c r="AB93" s="21"/>
      <c r="AC93" s="21"/>
      <c r="AD93" s="21"/>
    </row>
    <row r="94" spans="1:31" ht="14.5" x14ac:dyDescent="0.3">
      <c r="A94" s="66"/>
      <c r="B94" s="66" t="s">
        <v>175</v>
      </c>
      <c r="C94" s="70"/>
      <c r="D94" s="70"/>
      <c r="E94" s="70"/>
      <c r="F94" s="70"/>
      <c r="G94" s="70"/>
      <c r="H94" s="70"/>
      <c r="I94" s="70"/>
      <c r="J94" s="70"/>
      <c r="K94" s="70"/>
      <c r="L94" s="71"/>
      <c r="M94" s="72"/>
      <c r="N94" s="73"/>
      <c r="O94" s="73"/>
      <c r="P94" s="73"/>
      <c r="Q94" s="74"/>
      <c r="R94" s="72"/>
      <c r="S94" s="73"/>
      <c r="T94" s="73"/>
      <c r="U94" s="73"/>
      <c r="V94" s="74"/>
      <c r="W94" s="72"/>
      <c r="X94" s="70"/>
      <c r="Y94" s="70"/>
      <c r="Z94" s="70"/>
      <c r="AA94" s="73"/>
      <c r="AB94" s="70"/>
      <c r="AC94" s="70"/>
      <c r="AD94" s="21"/>
    </row>
    <row r="95" spans="1:31" x14ac:dyDescent="0.3">
      <c r="A95" s="125" t="s">
        <v>176</v>
      </c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20"/>
      <c r="AE95" s="15">
        <v>12</v>
      </c>
    </row>
    <row r="96" spans="1:31" x14ac:dyDescent="0.3">
      <c r="A96" s="19">
        <v>301</v>
      </c>
      <c r="B96" s="19" t="s">
        <v>177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75"/>
      <c r="O96" s="21"/>
      <c r="T96" s="21"/>
      <c r="U96" s="21"/>
      <c r="V96" s="52"/>
      <c r="W96" s="28" t="s">
        <v>178</v>
      </c>
      <c r="X96" s="21"/>
      <c r="Y96" s="28" t="s">
        <v>65</v>
      </c>
      <c r="Z96" s="21"/>
      <c r="AA96" s="21"/>
      <c r="AB96" s="21"/>
      <c r="AC96" s="21"/>
      <c r="AD96" s="21"/>
    </row>
    <row r="97" spans="1:32" x14ac:dyDescent="0.3">
      <c r="A97" s="19">
        <f>A96+1</f>
        <v>302</v>
      </c>
      <c r="B97" s="119" t="s">
        <v>179</v>
      </c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</row>
    <row r="98" spans="1:32" x14ac:dyDescent="0.3">
      <c r="B98" s="75" t="s">
        <v>180</v>
      </c>
      <c r="C98" s="76" t="s">
        <v>181</v>
      </c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51"/>
      <c r="Z98" s="52"/>
      <c r="AA98" s="53" t="s">
        <v>182</v>
      </c>
      <c r="AB98" s="75"/>
      <c r="AC98" s="75"/>
      <c r="AD98" s="75"/>
    </row>
    <row r="99" spans="1:32" x14ac:dyDescent="0.3">
      <c r="B99" s="75" t="s">
        <v>183</v>
      </c>
      <c r="C99" s="19" t="s">
        <v>184</v>
      </c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51"/>
      <c r="Z99" s="52"/>
      <c r="AA99" s="53" t="s">
        <v>182</v>
      </c>
      <c r="AB99" s="75"/>
      <c r="AC99" s="75"/>
      <c r="AD99" s="75"/>
    </row>
    <row r="100" spans="1:32" x14ac:dyDescent="0.3">
      <c r="B100" s="75" t="s">
        <v>185</v>
      </c>
      <c r="C100" s="19" t="s">
        <v>186</v>
      </c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51"/>
      <c r="Z100" s="52"/>
      <c r="AA100" s="53" t="s">
        <v>182</v>
      </c>
      <c r="AB100" s="75"/>
      <c r="AC100" s="75"/>
      <c r="AD100" s="75"/>
      <c r="AF100" s="15" t="s">
        <v>187</v>
      </c>
    </row>
    <row r="101" spans="1:32" x14ac:dyDescent="0.3">
      <c r="B101" s="75" t="s">
        <v>188</v>
      </c>
      <c r="C101" s="76" t="s">
        <v>189</v>
      </c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51"/>
      <c r="Z101" s="52"/>
      <c r="AA101" s="53" t="s">
        <v>182</v>
      </c>
      <c r="AB101" s="75"/>
      <c r="AC101" s="75"/>
      <c r="AD101" s="75"/>
    </row>
    <row r="102" spans="1:32" x14ac:dyDescent="0.3"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 t="s">
        <v>190</v>
      </c>
      <c r="T102" s="21"/>
      <c r="U102" s="21"/>
      <c r="V102" s="21"/>
      <c r="W102" s="21"/>
      <c r="X102" s="21"/>
      <c r="Y102" s="21" t="s">
        <v>191</v>
      </c>
      <c r="Z102" s="21"/>
      <c r="AA102" s="21"/>
      <c r="AB102" s="21"/>
      <c r="AC102" s="21"/>
      <c r="AD102" s="21"/>
    </row>
    <row r="103" spans="1:32" x14ac:dyDescent="0.3">
      <c r="A103" s="19">
        <v>303</v>
      </c>
      <c r="B103" s="82" t="s">
        <v>192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8" t="s">
        <v>193</v>
      </c>
      <c r="R103" s="21"/>
      <c r="S103" s="78"/>
      <c r="T103" s="78"/>
      <c r="U103" s="79" t="s">
        <v>57</v>
      </c>
      <c r="V103" s="78"/>
      <c r="W103" s="78"/>
      <c r="X103" s="21"/>
      <c r="Y103" s="78"/>
      <c r="Z103" s="78"/>
      <c r="AA103" s="79" t="s">
        <v>57</v>
      </c>
      <c r="AB103" s="78"/>
      <c r="AC103" s="78"/>
      <c r="AD103" s="21"/>
    </row>
    <row r="104" spans="1:32" x14ac:dyDescent="0.3">
      <c r="A104" s="19">
        <f>A103+1</f>
        <v>304</v>
      </c>
      <c r="B104" s="19" t="s">
        <v>194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8" t="s">
        <v>193</v>
      </c>
      <c r="R104" s="21"/>
      <c r="S104" s="78"/>
      <c r="T104" s="78"/>
      <c r="U104" s="79" t="s">
        <v>57</v>
      </c>
      <c r="V104" s="78"/>
      <c r="W104" s="78"/>
      <c r="X104" s="21"/>
      <c r="Y104" s="78"/>
      <c r="Z104" s="78"/>
      <c r="AA104" s="79" t="s">
        <v>57</v>
      </c>
      <c r="AB104" s="78"/>
      <c r="AC104" s="78"/>
      <c r="AD104" s="21"/>
    </row>
    <row r="105" spans="1:32" x14ac:dyDescent="0.3">
      <c r="A105" s="19">
        <f>A104+1</f>
        <v>305</v>
      </c>
      <c r="B105" s="82" t="s">
        <v>195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8" t="s">
        <v>193</v>
      </c>
      <c r="R105" s="21"/>
      <c r="S105" s="78"/>
      <c r="T105" s="78"/>
      <c r="U105" s="79" t="s">
        <v>57</v>
      </c>
      <c r="V105" s="78"/>
      <c r="W105" s="78"/>
      <c r="X105" s="21"/>
      <c r="Y105" s="78"/>
      <c r="Z105" s="78"/>
      <c r="AA105" s="79" t="s">
        <v>57</v>
      </c>
      <c r="AB105" s="78"/>
      <c r="AC105" s="78"/>
      <c r="AD105" s="21"/>
    </row>
    <row r="106" spans="1:32" x14ac:dyDescent="0.3">
      <c r="A106" s="19">
        <f>A105+1</f>
        <v>306</v>
      </c>
      <c r="B106" s="82" t="s">
        <v>196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38"/>
      <c r="Q106" s="28" t="s">
        <v>193</v>
      </c>
      <c r="R106" s="21"/>
      <c r="S106" s="78"/>
      <c r="T106" s="78"/>
      <c r="U106" s="79" t="s">
        <v>57</v>
      </c>
      <c r="V106" s="78"/>
      <c r="W106" s="78"/>
      <c r="X106" s="21"/>
      <c r="Y106" s="78"/>
      <c r="Z106" s="78"/>
      <c r="AA106" s="79" t="s">
        <v>57</v>
      </c>
      <c r="AB106" s="78"/>
      <c r="AC106" s="78"/>
      <c r="AD106" s="21"/>
    </row>
    <row r="107" spans="1:32" x14ac:dyDescent="0.3">
      <c r="A107" s="19">
        <f>A106+1</f>
        <v>307</v>
      </c>
      <c r="B107" s="82" t="s">
        <v>197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38"/>
      <c r="Q107" s="28" t="s">
        <v>193</v>
      </c>
      <c r="R107" s="21"/>
      <c r="S107" s="78"/>
      <c r="T107" s="78"/>
      <c r="U107" s="79" t="s">
        <v>57</v>
      </c>
      <c r="V107" s="78"/>
      <c r="W107" s="78"/>
      <c r="X107" s="21"/>
      <c r="Y107" s="78"/>
      <c r="Z107" s="78"/>
      <c r="AA107" s="79" t="s">
        <v>57</v>
      </c>
      <c r="AB107" s="78"/>
      <c r="AC107" s="78"/>
      <c r="AD107" s="21"/>
    </row>
    <row r="108" spans="1:32" x14ac:dyDescent="0.3">
      <c r="A108" s="19">
        <f>A107+1</f>
        <v>308</v>
      </c>
      <c r="B108" s="19" t="s">
        <v>198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47"/>
      <c r="S108" s="45" t="s">
        <v>180</v>
      </c>
      <c r="T108" s="45" t="s">
        <v>199</v>
      </c>
      <c r="U108" s="19"/>
      <c r="V108" s="19"/>
      <c r="W108" s="19"/>
      <c r="X108" s="45" t="s">
        <v>185</v>
      </c>
      <c r="Y108" s="45" t="s">
        <v>200</v>
      </c>
      <c r="Z108" s="19"/>
      <c r="AA108" s="19"/>
      <c r="AB108" s="19"/>
      <c r="AC108" s="19"/>
      <c r="AD108" s="19"/>
    </row>
    <row r="109" spans="1:32" x14ac:dyDescent="0.3">
      <c r="B109" s="19" t="s">
        <v>201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45" t="s">
        <v>183</v>
      </c>
      <c r="T109" s="45" t="s">
        <v>119</v>
      </c>
      <c r="U109" s="19"/>
      <c r="V109" s="45"/>
      <c r="W109" s="45"/>
      <c r="X109" s="45" t="s">
        <v>188</v>
      </c>
      <c r="Y109" s="45" t="s">
        <v>202</v>
      </c>
      <c r="Z109" s="19"/>
      <c r="AA109" s="19"/>
      <c r="AB109" s="19"/>
      <c r="AC109" s="19"/>
      <c r="AD109" s="19"/>
    </row>
    <row r="110" spans="1:32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45" t="s">
        <v>203</v>
      </c>
      <c r="T110" s="45" t="s">
        <v>204</v>
      </c>
      <c r="U110" s="19"/>
      <c r="V110" s="45"/>
      <c r="W110" s="45"/>
      <c r="X110" s="45"/>
      <c r="Y110" s="45"/>
      <c r="Z110" s="19"/>
      <c r="AA110" s="19"/>
      <c r="AB110" s="19"/>
      <c r="AC110" s="19"/>
      <c r="AD110" s="19"/>
    </row>
    <row r="111" spans="1:32" x14ac:dyDescent="0.3">
      <c r="A111" s="19">
        <v>309</v>
      </c>
      <c r="B111" s="19" t="s">
        <v>205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47"/>
      <c r="S111" s="45" t="s">
        <v>180</v>
      </c>
      <c r="T111" s="45" t="s">
        <v>206</v>
      </c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2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45" t="s">
        <v>183</v>
      </c>
      <c r="T112" s="45" t="s">
        <v>207</v>
      </c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spans="1:31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45" t="s">
        <v>185</v>
      </c>
      <c r="T113" s="45" t="s">
        <v>208</v>
      </c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1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45" t="s">
        <v>188</v>
      </c>
      <c r="T114" s="45" t="s">
        <v>209</v>
      </c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spans="1:31" x14ac:dyDescent="0.3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45" t="s">
        <v>203</v>
      </c>
      <c r="T115" s="45" t="s">
        <v>204</v>
      </c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1" x14ac:dyDescent="0.3">
      <c r="A116" s="19">
        <v>310</v>
      </c>
      <c r="B116" s="19" t="s">
        <v>210</v>
      </c>
      <c r="C116" s="19"/>
      <c r="D116" s="19"/>
      <c r="E116" s="19"/>
      <c r="F116" s="19"/>
      <c r="G116" s="19"/>
      <c r="H116" s="19"/>
      <c r="I116" s="19"/>
      <c r="J116" s="19"/>
      <c r="K116" s="19"/>
      <c r="Q116" s="89"/>
      <c r="R116" s="28" t="s">
        <v>178</v>
      </c>
      <c r="S116" s="21"/>
      <c r="T116" s="19"/>
      <c r="U116" s="77"/>
      <c r="V116" s="19"/>
      <c r="W116" s="28" t="s">
        <v>65</v>
      </c>
      <c r="X116" s="19"/>
      <c r="Y116" s="19"/>
      <c r="Z116" s="19"/>
      <c r="AA116" s="19"/>
      <c r="AB116" s="19"/>
      <c r="AC116" s="19"/>
      <c r="AD116" s="19"/>
    </row>
    <row r="117" spans="1:31" x14ac:dyDescent="0.3">
      <c r="Q117" s="81"/>
      <c r="R117" s="45" t="s">
        <v>180</v>
      </c>
      <c r="S117" s="45" t="s">
        <v>211</v>
      </c>
    </row>
    <row r="118" spans="1:31" x14ac:dyDescent="0.3">
      <c r="R118" s="80" t="s">
        <v>183</v>
      </c>
      <c r="S118" s="80" t="s">
        <v>212</v>
      </c>
    </row>
    <row r="119" spans="1:3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Q119" s="21"/>
      <c r="R119" s="39" t="s">
        <v>185</v>
      </c>
      <c r="S119" s="39" t="s">
        <v>213</v>
      </c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1" x14ac:dyDescent="0.3">
      <c r="A120" s="19">
        <v>311</v>
      </c>
      <c r="B120" s="19" t="s">
        <v>214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47"/>
      <c r="R120" s="45" t="s">
        <v>180</v>
      </c>
      <c r="S120" s="45" t="s">
        <v>215</v>
      </c>
      <c r="T120" s="45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spans="1:31" x14ac:dyDescent="0.3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45" t="s">
        <v>183</v>
      </c>
      <c r="S121" s="45" t="s">
        <v>216</v>
      </c>
      <c r="T121" s="45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1" x14ac:dyDescent="0.3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45" t="s">
        <v>185</v>
      </c>
      <c r="S122" s="45" t="s">
        <v>217</v>
      </c>
      <c r="T122" s="45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spans="1:31" x14ac:dyDescent="0.3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45" t="s">
        <v>188</v>
      </c>
      <c r="S123" s="45" t="s">
        <v>218</v>
      </c>
      <c r="T123" s="45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1" x14ac:dyDescent="0.3">
      <c r="A124" s="19">
        <v>312</v>
      </c>
      <c r="B124" s="19" t="s">
        <v>219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 t="s">
        <v>220</v>
      </c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1" x14ac:dyDescent="0.3">
      <c r="B125" s="19" t="s">
        <v>221</v>
      </c>
    </row>
    <row r="126" spans="1:31" x14ac:dyDescent="0.3">
      <c r="A126" s="66"/>
      <c r="B126" s="66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</row>
    <row r="127" spans="1:31" x14ac:dyDescent="0.3">
      <c r="A127" s="118" t="s">
        <v>222</v>
      </c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21"/>
      <c r="AE127" s="15">
        <v>14</v>
      </c>
    </row>
    <row r="128" spans="1:31" x14ac:dyDescent="0.3">
      <c r="A128" s="19">
        <v>401</v>
      </c>
      <c r="B128" s="50" t="s">
        <v>223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39" t="s">
        <v>87</v>
      </c>
      <c r="X128" s="22"/>
      <c r="Y128" s="22"/>
      <c r="Z128" s="22"/>
      <c r="AA128" s="22"/>
      <c r="AB128" s="39" t="s">
        <v>88</v>
      </c>
      <c r="AC128" s="21"/>
      <c r="AD128" s="21"/>
    </row>
    <row r="129" spans="1:30" x14ac:dyDescent="0.3">
      <c r="A129" s="19">
        <v>402</v>
      </c>
      <c r="B129" s="50" t="s">
        <v>224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47"/>
      <c r="S129" s="28" t="s">
        <v>178</v>
      </c>
      <c r="T129" s="21"/>
      <c r="U129" s="19"/>
      <c r="V129" s="77"/>
      <c r="W129" s="19"/>
      <c r="X129" s="28" t="s">
        <v>65</v>
      </c>
      <c r="Y129" s="19"/>
      <c r="Z129" s="21"/>
      <c r="AA129" s="21"/>
      <c r="AB129" s="39"/>
      <c r="AC129" s="21"/>
      <c r="AD129" s="21"/>
    </row>
    <row r="130" spans="1:30" x14ac:dyDescent="0.3">
      <c r="A130" s="19">
        <v>403</v>
      </c>
      <c r="B130" s="50" t="s">
        <v>225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39" t="s">
        <v>87</v>
      </c>
      <c r="X130" s="22"/>
      <c r="Y130" s="22"/>
      <c r="Z130" s="22"/>
      <c r="AA130" s="22"/>
      <c r="AB130" s="39" t="s">
        <v>88</v>
      </c>
      <c r="AC130" s="21"/>
      <c r="AD130" s="21"/>
    </row>
    <row r="131" spans="1:30" x14ac:dyDescent="0.3">
      <c r="A131" s="19">
        <v>404</v>
      </c>
      <c r="B131" s="48" t="s">
        <v>226</v>
      </c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</row>
    <row r="132" spans="1:30" x14ac:dyDescent="0.3">
      <c r="B132" s="50" t="s">
        <v>227</v>
      </c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21"/>
      <c r="V132" s="21"/>
      <c r="W132" s="21"/>
      <c r="X132" s="51"/>
      <c r="Y132" s="52"/>
      <c r="Z132" s="52"/>
      <c r="AA132" s="53" t="s">
        <v>117</v>
      </c>
      <c r="AB132" s="51"/>
      <c r="AC132" s="51"/>
      <c r="AD132" s="51"/>
    </row>
    <row r="133" spans="1:30" x14ac:dyDescent="0.3">
      <c r="A133" s="19">
        <v>405</v>
      </c>
      <c r="B133" s="50" t="s">
        <v>228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39"/>
      <c r="X133" s="21"/>
      <c r="Y133" s="21"/>
      <c r="Z133" s="21"/>
      <c r="AA133" s="21"/>
      <c r="AB133" s="39"/>
      <c r="AC133" s="21"/>
      <c r="AD133" s="21"/>
    </row>
    <row r="134" spans="1:30" x14ac:dyDescent="0.3">
      <c r="B134" s="50" t="s">
        <v>229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47"/>
      <c r="S134" s="28" t="s">
        <v>178</v>
      </c>
      <c r="T134" s="21"/>
      <c r="U134" s="19"/>
      <c r="V134" s="77"/>
      <c r="W134" s="19"/>
      <c r="X134" s="28" t="s">
        <v>65</v>
      </c>
      <c r="Y134" s="19"/>
      <c r="Z134" s="21"/>
      <c r="AA134" s="21"/>
      <c r="AB134" s="39"/>
      <c r="AC134" s="21"/>
      <c r="AD134" s="21"/>
    </row>
    <row r="135" spans="1:30" x14ac:dyDescent="0.3">
      <c r="B135" s="50" t="s">
        <v>230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47"/>
      <c r="S135" s="28" t="s">
        <v>178</v>
      </c>
      <c r="T135" s="21"/>
      <c r="U135" s="19"/>
      <c r="V135" s="77"/>
      <c r="W135" s="19"/>
      <c r="X135" s="28" t="s">
        <v>65</v>
      </c>
      <c r="Y135" s="19"/>
      <c r="Z135" s="21"/>
      <c r="AA135" s="21"/>
      <c r="AB135" s="39"/>
      <c r="AC135" s="21"/>
      <c r="AD135" s="21"/>
    </row>
    <row r="136" spans="1:30" x14ac:dyDescent="0.3">
      <c r="B136" s="50" t="s">
        <v>231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47"/>
      <c r="S136" s="28" t="s">
        <v>178</v>
      </c>
      <c r="T136" s="21"/>
      <c r="U136" s="19"/>
      <c r="V136" s="77"/>
      <c r="W136" s="19"/>
      <c r="X136" s="28" t="s">
        <v>65</v>
      </c>
      <c r="Y136" s="19"/>
      <c r="Z136" s="21"/>
      <c r="AA136" s="21"/>
      <c r="AB136" s="39"/>
      <c r="AC136" s="21"/>
      <c r="AD136" s="21"/>
    </row>
    <row r="137" spans="1:30" x14ac:dyDescent="0.3">
      <c r="A137" s="19">
        <v>406</v>
      </c>
      <c r="B137" s="50" t="s">
        <v>232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39"/>
      <c r="X137" s="21"/>
      <c r="Y137" s="21"/>
      <c r="Z137" s="21"/>
      <c r="AA137" s="21"/>
      <c r="AB137" s="39"/>
      <c r="AC137" s="21"/>
      <c r="AD137" s="21"/>
    </row>
    <row r="138" spans="1:30" x14ac:dyDescent="0.3">
      <c r="B138" s="50" t="s">
        <v>233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47"/>
      <c r="S138" s="28" t="s">
        <v>178</v>
      </c>
      <c r="T138" s="21"/>
      <c r="U138" s="19"/>
      <c r="V138" s="77"/>
      <c r="W138" s="19"/>
      <c r="X138" s="28" t="s">
        <v>65</v>
      </c>
      <c r="Y138" s="19"/>
      <c r="Z138" s="21"/>
      <c r="AA138" s="21"/>
      <c r="AB138" s="39"/>
      <c r="AC138" s="21"/>
      <c r="AD138" s="21"/>
    </row>
    <row r="139" spans="1:30" x14ac:dyDescent="0.3">
      <c r="B139" s="50" t="s">
        <v>234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47"/>
      <c r="S139" s="28" t="s">
        <v>178</v>
      </c>
      <c r="T139" s="21"/>
      <c r="U139" s="19"/>
      <c r="V139" s="77"/>
      <c r="W139" s="19"/>
      <c r="X139" s="28" t="s">
        <v>65</v>
      </c>
      <c r="Y139" s="19"/>
      <c r="Z139" s="21"/>
      <c r="AA139" s="21"/>
      <c r="AB139" s="39"/>
      <c r="AC139" s="21"/>
      <c r="AD139" s="21"/>
    </row>
    <row r="140" spans="1:30" x14ac:dyDescent="0.3">
      <c r="A140" s="19">
        <v>407</v>
      </c>
      <c r="B140" s="19" t="s">
        <v>235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47"/>
      <c r="R140" s="45" t="s">
        <v>236</v>
      </c>
      <c r="S140" s="45"/>
      <c r="T140" s="45"/>
      <c r="U140" s="19"/>
      <c r="V140" s="19"/>
      <c r="W140" s="19"/>
      <c r="X140" s="19"/>
      <c r="Y140" s="19"/>
      <c r="Z140" s="19"/>
      <c r="AA140" s="19"/>
      <c r="AB140" s="19"/>
      <c r="AC140" s="19"/>
      <c r="AD140" s="21"/>
    </row>
    <row r="141" spans="1:30" x14ac:dyDescent="0.3">
      <c r="A141" s="19">
        <v>408</v>
      </c>
      <c r="B141" s="19" t="s">
        <v>237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99"/>
      <c r="R141" s="45" t="s">
        <v>117</v>
      </c>
      <c r="S141" s="45"/>
      <c r="T141" s="45"/>
      <c r="U141" s="19"/>
      <c r="V141" s="19"/>
      <c r="W141" s="19"/>
      <c r="X141" s="19"/>
      <c r="Y141" s="19"/>
      <c r="Z141" s="19"/>
      <c r="AA141" s="19"/>
      <c r="AB141" s="19"/>
      <c r="AC141" s="19"/>
      <c r="AD141" s="21"/>
    </row>
    <row r="142" spans="1:30" x14ac:dyDescent="0.3">
      <c r="A142" s="19">
        <f>A141+1</f>
        <v>409</v>
      </c>
      <c r="B142" s="19" t="s">
        <v>238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89"/>
      <c r="R142" s="100"/>
      <c r="S142" s="100"/>
      <c r="T142" s="45" t="s">
        <v>239</v>
      </c>
      <c r="U142" s="19"/>
      <c r="V142" s="19"/>
      <c r="W142" s="19"/>
      <c r="X142" s="19"/>
      <c r="Y142" s="19"/>
      <c r="Z142" s="19"/>
      <c r="AA142" s="19"/>
      <c r="AB142" s="19"/>
      <c r="AC142" s="19"/>
      <c r="AD142" s="21"/>
    </row>
    <row r="143" spans="1:30" x14ac:dyDescent="0.3">
      <c r="A143" s="19">
        <f>A142+1</f>
        <v>410</v>
      </c>
      <c r="B143" s="19" t="s">
        <v>240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39"/>
      <c r="X143" s="21"/>
      <c r="Y143" s="21"/>
      <c r="Z143" s="21"/>
      <c r="AA143" s="21"/>
      <c r="AB143" s="39"/>
      <c r="AC143" s="21"/>
      <c r="AD143" s="21"/>
    </row>
    <row r="144" spans="1:30" x14ac:dyDescent="0.3"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39"/>
      <c r="X144" s="21"/>
      <c r="Y144" s="21"/>
      <c r="Z144" s="21"/>
      <c r="AA144" s="21"/>
      <c r="AB144" s="39"/>
      <c r="AC144" s="21"/>
      <c r="AD144" s="21"/>
    </row>
    <row r="145" spans="1:30" x14ac:dyDescent="0.3">
      <c r="B145" s="50" t="s">
        <v>241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19"/>
      <c r="V145" s="45" t="s">
        <v>87</v>
      </c>
      <c r="W145" s="47"/>
      <c r="X145" s="47"/>
      <c r="Y145" s="47"/>
      <c r="Z145" s="45" t="s">
        <v>88</v>
      </c>
      <c r="AA145" s="21"/>
      <c r="AB145" s="39"/>
      <c r="AC145" s="21"/>
      <c r="AD145" s="21"/>
    </row>
    <row r="146" spans="1:30" x14ac:dyDescent="0.3">
      <c r="B146" s="50" t="s">
        <v>242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19"/>
      <c r="V146" s="45" t="s">
        <v>87</v>
      </c>
      <c r="W146" s="47"/>
      <c r="X146" s="47"/>
      <c r="Y146" s="47"/>
      <c r="Z146" s="45" t="s">
        <v>88</v>
      </c>
      <c r="AA146" s="21"/>
      <c r="AB146" s="39"/>
      <c r="AC146" s="21"/>
      <c r="AD146" s="21"/>
    </row>
    <row r="147" spans="1:30" x14ac:dyDescent="0.3">
      <c r="B147" s="50" t="s">
        <v>243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19"/>
      <c r="V147" s="45" t="s">
        <v>87</v>
      </c>
      <c r="W147" s="47"/>
      <c r="X147" s="47"/>
      <c r="Y147" s="47"/>
      <c r="Z147" s="45" t="s">
        <v>88</v>
      </c>
      <c r="AA147" s="21"/>
      <c r="AB147" s="39"/>
      <c r="AC147" s="21"/>
      <c r="AD147" s="21"/>
    </row>
    <row r="148" spans="1:30" x14ac:dyDescent="0.3">
      <c r="B148" s="50" t="s">
        <v>244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19"/>
      <c r="V148" s="45" t="s">
        <v>87</v>
      </c>
      <c r="W148" s="47"/>
      <c r="X148" s="47"/>
      <c r="Y148" s="47"/>
      <c r="Z148" s="45" t="s">
        <v>88</v>
      </c>
      <c r="AA148" s="21"/>
      <c r="AB148" s="39"/>
      <c r="AC148" s="21"/>
      <c r="AD148" s="21"/>
    </row>
    <row r="149" spans="1:30" x14ac:dyDescent="0.3">
      <c r="B149" s="50" t="s">
        <v>245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19"/>
      <c r="V149" s="45" t="s">
        <v>87</v>
      </c>
      <c r="W149" s="47"/>
      <c r="X149" s="47"/>
      <c r="Y149" s="47"/>
      <c r="Z149" s="45" t="s">
        <v>88</v>
      </c>
      <c r="AA149" s="21"/>
      <c r="AB149" s="39"/>
      <c r="AC149" s="21"/>
      <c r="AD149" s="21"/>
    </row>
    <row r="150" spans="1:30" x14ac:dyDescent="0.3">
      <c r="B150" s="50" t="s">
        <v>246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19"/>
      <c r="V150" s="45" t="s">
        <v>87</v>
      </c>
      <c r="W150" s="47"/>
      <c r="X150" s="47"/>
      <c r="Y150" s="47"/>
      <c r="Z150" s="45" t="s">
        <v>88</v>
      </c>
      <c r="AA150" s="21"/>
      <c r="AB150" s="39"/>
      <c r="AC150" s="21"/>
      <c r="AD150" s="21"/>
    </row>
    <row r="151" spans="1:30" x14ac:dyDescent="0.3">
      <c r="A151" s="19">
        <f>A143+1</f>
        <v>411</v>
      </c>
      <c r="B151" s="19" t="s">
        <v>247</v>
      </c>
      <c r="C151" s="21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3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 t="s">
        <v>248</v>
      </c>
      <c r="O152" s="19"/>
      <c r="P152" s="19"/>
      <c r="Q152" s="19"/>
      <c r="R152" s="19"/>
      <c r="S152" s="19"/>
      <c r="T152" s="19"/>
      <c r="U152" s="19"/>
      <c r="V152" s="19" t="s">
        <v>249</v>
      </c>
      <c r="W152" s="19"/>
      <c r="X152" s="19"/>
      <c r="Y152" s="19"/>
      <c r="Z152" s="19"/>
      <c r="AA152" s="19"/>
      <c r="AB152" s="19"/>
      <c r="AC152" s="19"/>
      <c r="AD152" s="19"/>
    </row>
    <row r="153" spans="1:30" x14ac:dyDescent="0.3">
      <c r="B153" s="19" t="s">
        <v>180</v>
      </c>
      <c r="C153" s="19" t="s">
        <v>250</v>
      </c>
      <c r="D153" s="19"/>
      <c r="E153" s="19"/>
      <c r="F153" s="19"/>
      <c r="G153" s="19"/>
      <c r="H153" s="45"/>
      <c r="I153" s="45"/>
      <c r="J153" s="45"/>
      <c r="K153" s="45"/>
      <c r="L153" s="45"/>
      <c r="M153" s="45"/>
      <c r="N153" s="45" t="s">
        <v>87</v>
      </c>
      <c r="O153" s="47"/>
      <c r="P153" s="47"/>
      <c r="Q153" s="47"/>
      <c r="R153" s="45" t="s">
        <v>88</v>
      </c>
      <c r="S153" s="19"/>
      <c r="T153" s="19"/>
      <c r="U153" s="19"/>
      <c r="V153" s="45" t="s">
        <v>87</v>
      </c>
      <c r="W153" s="47"/>
      <c r="X153" s="47"/>
      <c r="Y153" s="47"/>
      <c r="Z153" s="45" t="s">
        <v>88</v>
      </c>
      <c r="AA153" s="19"/>
      <c r="AB153" s="19"/>
      <c r="AC153" s="19"/>
      <c r="AD153" s="19"/>
    </row>
    <row r="154" spans="1:30" x14ac:dyDescent="0.3">
      <c r="B154" s="19" t="s">
        <v>183</v>
      </c>
      <c r="C154" s="19" t="s">
        <v>251</v>
      </c>
      <c r="D154" s="19"/>
      <c r="E154" s="19"/>
      <c r="F154" s="19"/>
      <c r="G154" s="19"/>
      <c r="H154" s="45"/>
      <c r="I154" s="45"/>
      <c r="J154" s="45"/>
      <c r="K154" s="45"/>
      <c r="L154" s="45"/>
      <c r="M154" s="45"/>
      <c r="N154" s="45" t="s">
        <v>87</v>
      </c>
      <c r="O154" s="47"/>
      <c r="P154" s="47"/>
      <c r="Q154" s="47"/>
      <c r="R154" s="45" t="s">
        <v>88</v>
      </c>
      <c r="S154" s="19"/>
      <c r="T154" s="19"/>
      <c r="U154" s="19"/>
      <c r="V154" s="45" t="s">
        <v>87</v>
      </c>
      <c r="W154" s="47"/>
      <c r="X154" s="47"/>
      <c r="Y154" s="47"/>
      <c r="Z154" s="45" t="s">
        <v>88</v>
      </c>
      <c r="AA154" s="19"/>
      <c r="AB154" s="19"/>
      <c r="AC154" s="19"/>
      <c r="AD154" s="19"/>
    </row>
    <row r="155" spans="1:30" x14ac:dyDescent="0.3">
      <c r="B155" s="19" t="s">
        <v>185</v>
      </c>
      <c r="C155" s="19" t="s">
        <v>252</v>
      </c>
      <c r="D155" s="19"/>
      <c r="E155" s="19"/>
      <c r="F155" s="19"/>
      <c r="G155" s="19"/>
      <c r="H155" s="45"/>
      <c r="I155" s="45"/>
      <c r="J155" s="45"/>
      <c r="K155" s="45"/>
      <c r="L155" s="45"/>
      <c r="M155" s="45"/>
      <c r="N155" s="45" t="s">
        <v>87</v>
      </c>
      <c r="O155" s="47"/>
      <c r="P155" s="47"/>
      <c r="Q155" s="47"/>
      <c r="R155" s="45" t="s">
        <v>88</v>
      </c>
      <c r="S155" s="19"/>
      <c r="T155" s="19"/>
      <c r="U155" s="19"/>
      <c r="V155" s="45" t="s">
        <v>87</v>
      </c>
      <c r="W155" s="47"/>
      <c r="X155" s="47"/>
      <c r="Y155" s="47"/>
      <c r="Z155" s="45" t="s">
        <v>88</v>
      </c>
      <c r="AA155" s="19"/>
      <c r="AB155" s="19"/>
      <c r="AC155" s="19"/>
      <c r="AD155" s="19"/>
    </row>
    <row r="156" spans="1:30" x14ac:dyDescent="0.3">
      <c r="B156" s="19" t="s">
        <v>188</v>
      </c>
      <c r="C156" s="19" t="s">
        <v>253</v>
      </c>
      <c r="D156" s="19"/>
      <c r="E156" s="19"/>
      <c r="F156" s="19"/>
      <c r="G156" s="19"/>
      <c r="H156" s="45"/>
      <c r="I156" s="45"/>
      <c r="J156" s="45"/>
      <c r="K156" s="45"/>
      <c r="L156" s="45"/>
      <c r="M156" s="45"/>
      <c r="N156" s="45" t="s">
        <v>87</v>
      </c>
      <c r="O156" s="47"/>
      <c r="P156" s="47"/>
      <c r="Q156" s="47"/>
      <c r="R156" s="45" t="s">
        <v>88</v>
      </c>
      <c r="S156" s="19"/>
      <c r="T156" s="19"/>
      <c r="U156" s="19"/>
      <c r="V156" s="45" t="s">
        <v>87</v>
      </c>
      <c r="W156" s="47"/>
      <c r="X156" s="47"/>
      <c r="Y156" s="47"/>
      <c r="Z156" s="45" t="s">
        <v>88</v>
      </c>
      <c r="AA156" s="19"/>
      <c r="AB156" s="19"/>
      <c r="AC156" s="19"/>
      <c r="AD156" s="19"/>
    </row>
    <row r="157" spans="1:30" x14ac:dyDescent="0.3">
      <c r="B157" s="19" t="s">
        <v>203</v>
      </c>
      <c r="C157" s="19" t="s">
        <v>254</v>
      </c>
      <c r="D157" s="19"/>
      <c r="E157" s="19"/>
      <c r="F157" s="19"/>
      <c r="G157" s="19"/>
      <c r="H157" s="45"/>
      <c r="I157" s="45"/>
      <c r="J157" s="45"/>
      <c r="K157" s="45"/>
      <c r="L157" s="45"/>
      <c r="M157" s="45"/>
      <c r="N157" s="45" t="s">
        <v>87</v>
      </c>
      <c r="O157" s="47"/>
      <c r="P157" s="47"/>
      <c r="Q157" s="47"/>
      <c r="R157" s="45" t="s">
        <v>88</v>
      </c>
      <c r="S157" s="19"/>
      <c r="T157" s="19"/>
      <c r="U157" s="19"/>
      <c r="V157" s="45" t="s">
        <v>87</v>
      </c>
      <c r="W157" s="47"/>
      <c r="X157" s="47"/>
      <c r="Y157" s="47"/>
      <c r="Z157" s="45" t="s">
        <v>88</v>
      </c>
      <c r="AA157" s="19"/>
      <c r="AB157" s="19"/>
      <c r="AC157" s="19"/>
      <c r="AD157" s="19"/>
    </row>
    <row r="158" spans="1:30" x14ac:dyDescent="0.3">
      <c r="B158" s="19" t="s">
        <v>255</v>
      </c>
      <c r="C158" s="19" t="s">
        <v>256</v>
      </c>
      <c r="D158" s="19"/>
      <c r="E158" s="19"/>
      <c r="F158" s="19"/>
      <c r="G158" s="19"/>
      <c r="H158" s="45"/>
      <c r="I158" s="45"/>
      <c r="J158" s="45"/>
      <c r="K158" s="45"/>
      <c r="L158" s="45"/>
      <c r="M158" s="45"/>
      <c r="N158" s="45" t="s">
        <v>87</v>
      </c>
      <c r="O158" s="47"/>
      <c r="P158" s="47"/>
      <c r="Q158" s="47"/>
      <c r="R158" s="45" t="s">
        <v>88</v>
      </c>
      <c r="S158" s="19"/>
      <c r="T158" s="19"/>
      <c r="U158" s="19"/>
      <c r="V158" s="45" t="s">
        <v>87</v>
      </c>
      <c r="W158" s="47"/>
      <c r="X158" s="47"/>
      <c r="Y158" s="47"/>
      <c r="Z158" s="45" t="s">
        <v>88</v>
      </c>
      <c r="AA158" s="19"/>
      <c r="AB158" s="19"/>
      <c r="AC158" s="19"/>
      <c r="AD158" s="19"/>
    </row>
    <row r="159" spans="1:30" x14ac:dyDescent="0.3">
      <c r="B159" s="19" t="s">
        <v>257</v>
      </c>
      <c r="C159" s="19" t="s">
        <v>258</v>
      </c>
      <c r="D159" s="19"/>
      <c r="E159" s="19"/>
      <c r="F159" s="19"/>
      <c r="G159" s="19"/>
      <c r="H159" s="45"/>
      <c r="I159" s="45"/>
      <c r="J159" s="45"/>
      <c r="K159" s="45"/>
      <c r="L159" s="45"/>
      <c r="M159" s="45"/>
      <c r="N159" s="45" t="s">
        <v>87</v>
      </c>
      <c r="O159" s="47"/>
      <c r="P159" s="47"/>
      <c r="Q159" s="47"/>
      <c r="R159" s="45" t="s">
        <v>88</v>
      </c>
      <c r="S159" s="19"/>
      <c r="T159" s="19"/>
      <c r="U159" s="19"/>
      <c r="V159" s="45" t="s">
        <v>87</v>
      </c>
      <c r="W159" s="47"/>
      <c r="X159" s="47"/>
      <c r="Y159" s="47"/>
      <c r="Z159" s="45" t="s">
        <v>88</v>
      </c>
      <c r="AA159" s="19"/>
      <c r="AB159" s="19"/>
      <c r="AC159" s="19"/>
      <c r="AD159" s="19"/>
    </row>
    <row r="160" spans="1:30" x14ac:dyDescent="0.3">
      <c r="A160" s="19">
        <f>A151+1</f>
        <v>412</v>
      </c>
      <c r="B160" s="19" t="s">
        <v>259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 t="s">
        <v>260</v>
      </c>
      <c r="O160" s="19"/>
      <c r="P160" s="19"/>
      <c r="Q160" s="19"/>
      <c r="R160" s="19"/>
      <c r="S160" s="19"/>
      <c r="T160" s="19"/>
      <c r="U160" s="19"/>
      <c r="V160" s="19" t="s">
        <v>261</v>
      </c>
      <c r="W160" s="19"/>
      <c r="X160" s="19"/>
      <c r="Y160" s="19"/>
      <c r="Z160" s="19"/>
      <c r="AA160" s="19"/>
      <c r="AB160" s="19"/>
      <c r="AC160" s="19"/>
      <c r="AD160" s="51"/>
    </row>
    <row r="161" spans="1:30" x14ac:dyDescent="0.3">
      <c r="B161" s="19" t="s">
        <v>262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45" t="s">
        <v>87</v>
      </c>
      <c r="O161" s="47"/>
      <c r="P161" s="47"/>
      <c r="Q161" s="47"/>
      <c r="R161" s="47"/>
      <c r="S161" s="21" t="s">
        <v>263</v>
      </c>
      <c r="T161" s="21"/>
      <c r="U161" s="21"/>
      <c r="V161" s="45" t="s">
        <v>87</v>
      </c>
      <c r="W161" s="47"/>
      <c r="X161" s="47"/>
      <c r="Y161" s="47"/>
      <c r="Z161" s="47"/>
      <c r="AA161" s="21" t="s">
        <v>263</v>
      </c>
      <c r="AB161" s="21"/>
      <c r="AC161" s="21"/>
      <c r="AD161" s="51"/>
    </row>
    <row r="162" spans="1:30" x14ac:dyDescent="0.3">
      <c r="B162" s="19" t="s">
        <v>264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45" t="s">
        <v>87</v>
      </c>
      <c r="O162" s="47"/>
      <c r="P162" s="47"/>
      <c r="Q162" s="47"/>
      <c r="R162" s="47"/>
      <c r="S162" s="21" t="s">
        <v>263</v>
      </c>
      <c r="T162" s="21"/>
      <c r="U162" s="21"/>
      <c r="V162" s="45" t="s">
        <v>87</v>
      </c>
      <c r="W162" s="47"/>
      <c r="X162" s="47"/>
      <c r="Y162" s="47"/>
      <c r="Z162" s="47"/>
      <c r="AA162" s="21" t="s">
        <v>263</v>
      </c>
      <c r="AB162" s="21"/>
      <c r="AC162" s="19"/>
      <c r="AD162" s="51"/>
    </row>
    <row r="163" spans="1:30" x14ac:dyDescent="0.3">
      <c r="B163" s="19" t="s">
        <v>265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45" t="s">
        <v>87</v>
      </c>
      <c r="O163" s="81"/>
      <c r="P163" s="47"/>
      <c r="Q163" s="47"/>
      <c r="R163" s="47"/>
      <c r="S163" s="15" t="s">
        <v>263</v>
      </c>
      <c r="U163" s="21"/>
      <c r="V163" s="45" t="s">
        <v>87</v>
      </c>
      <c r="W163" s="81"/>
      <c r="X163" s="47"/>
      <c r="Y163" s="47"/>
      <c r="Z163" s="47"/>
      <c r="AA163" s="15" t="s">
        <v>263</v>
      </c>
      <c r="AC163" s="19"/>
      <c r="AD163" s="51"/>
    </row>
    <row r="164" spans="1:30" x14ac:dyDescent="0.3">
      <c r="B164" s="19" t="s">
        <v>266</v>
      </c>
      <c r="C164" s="19"/>
      <c r="D164" s="19"/>
      <c r="E164" s="19"/>
      <c r="F164" s="19"/>
      <c r="G164" s="19"/>
      <c r="H164" s="45"/>
      <c r="I164" s="19"/>
      <c r="J164" s="19"/>
      <c r="K164" s="19"/>
      <c r="L164" s="45"/>
      <c r="M164" s="45"/>
      <c r="N164" s="45" t="s">
        <v>87</v>
      </c>
      <c r="O164" s="47"/>
      <c r="P164" s="47"/>
      <c r="Q164" s="47"/>
      <c r="R164" s="47"/>
      <c r="S164" s="21" t="s">
        <v>263</v>
      </c>
      <c r="T164" s="21"/>
      <c r="U164" s="21"/>
      <c r="V164" s="45" t="s">
        <v>87</v>
      </c>
      <c r="W164" s="47"/>
      <c r="X164" s="47"/>
      <c r="Y164" s="47"/>
      <c r="Z164" s="47"/>
      <c r="AA164" s="21" t="s">
        <v>263</v>
      </c>
      <c r="AB164" s="21"/>
      <c r="AC164" s="19"/>
      <c r="AD164" s="51"/>
    </row>
    <row r="165" spans="1:30" x14ac:dyDescent="0.3">
      <c r="A165" s="19">
        <f>A160+1</f>
        <v>413</v>
      </c>
      <c r="B165" s="19" t="s">
        <v>267</v>
      </c>
      <c r="C165" s="44"/>
      <c r="D165" s="19"/>
      <c r="E165" s="19"/>
      <c r="F165" s="19"/>
      <c r="G165" s="19"/>
      <c r="H165" s="45"/>
      <c r="I165" s="19"/>
      <c r="J165" s="19"/>
      <c r="K165" s="19"/>
      <c r="L165" s="45"/>
      <c r="M165" s="45"/>
      <c r="N165" s="45"/>
      <c r="O165" s="19"/>
      <c r="P165" s="19"/>
      <c r="Q165" s="19"/>
      <c r="R165" s="45"/>
      <c r="S165" s="19"/>
      <c r="T165" s="19"/>
      <c r="U165" s="19"/>
      <c r="V165" s="45"/>
      <c r="W165" s="19"/>
      <c r="X165" s="19"/>
      <c r="Y165" s="19"/>
      <c r="Z165" s="45"/>
      <c r="AA165" s="19"/>
      <c r="AB165" s="19"/>
      <c r="AC165" s="19"/>
      <c r="AD165" s="19"/>
    </row>
    <row r="166" spans="1:30" x14ac:dyDescent="0.3">
      <c r="B166" s="19" t="s">
        <v>180</v>
      </c>
      <c r="C166" s="19" t="s">
        <v>268</v>
      </c>
      <c r="D166" s="19"/>
      <c r="E166" s="19"/>
      <c r="F166" s="19"/>
      <c r="G166" s="19"/>
      <c r="H166" s="45"/>
      <c r="I166" s="19"/>
      <c r="J166" s="19"/>
      <c r="K166" s="19"/>
      <c r="L166" s="45"/>
      <c r="M166" s="45"/>
      <c r="N166" s="45"/>
      <c r="O166" s="19"/>
      <c r="P166" s="19"/>
      <c r="Q166" s="19"/>
      <c r="R166" s="45"/>
      <c r="S166" s="19"/>
      <c r="T166" s="19"/>
      <c r="U166" s="19"/>
      <c r="V166" s="45" t="s">
        <v>87</v>
      </c>
      <c r="W166" s="47"/>
      <c r="X166" s="47"/>
      <c r="Y166" s="47"/>
      <c r="Z166" s="47"/>
      <c r="AA166" s="45" t="s">
        <v>88</v>
      </c>
      <c r="AB166" s="19"/>
      <c r="AC166" s="19"/>
      <c r="AD166" s="19"/>
    </row>
    <row r="167" spans="1:30" x14ac:dyDescent="0.3">
      <c r="B167" s="19" t="s">
        <v>183</v>
      </c>
      <c r="C167" s="19" t="s">
        <v>269</v>
      </c>
      <c r="D167" s="19"/>
      <c r="E167" s="19"/>
      <c r="F167" s="19"/>
      <c r="G167" s="19"/>
      <c r="H167" s="45"/>
      <c r="I167" s="19"/>
      <c r="J167" s="19"/>
      <c r="K167" s="19"/>
      <c r="L167" s="45"/>
      <c r="M167" s="45"/>
      <c r="N167" s="45"/>
      <c r="O167" s="19"/>
      <c r="P167" s="19"/>
      <c r="Q167" s="19"/>
      <c r="R167" s="45"/>
      <c r="S167" s="19"/>
      <c r="T167" s="19"/>
      <c r="U167" s="19"/>
      <c r="V167" s="45" t="s">
        <v>87</v>
      </c>
      <c r="W167" s="47"/>
      <c r="X167" s="47"/>
      <c r="Y167" s="47"/>
      <c r="Z167" s="47"/>
      <c r="AA167" s="45" t="s">
        <v>88</v>
      </c>
      <c r="AB167" s="19"/>
      <c r="AC167" s="19"/>
      <c r="AD167" s="19"/>
    </row>
    <row r="168" spans="1:30" x14ac:dyDescent="0.3">
      <c r="B168" s="19" t="s">
        <v>185</v>
      </c>
      <c r="C168" s="19" t="s">
        <v>270</v>
      </c>
      <c r="D168" s="19"/>
      <c r="E168" s="19"/>
      <c r="F168" s="19"/>
      <c r="G168" s="19"/>
      <c r="H168" s="45"/>
      <c r="I168" s="19"/>
      <c r="J168" s="19"/>
      <c r="K168" s="19"/>
      <c r="L168" s="45"/>
      <c r="M168" s="45"/>
      <c r="N168" s="45"/>
      <c r="O168" s="19"/>
      <c r="P168" s="19"/>
      <c r="Q168" s="19"/>
      <c r="R168" s="45"/>
      <c r="S168" s="19"/>
      <c r="T168" s="19"/>
      <c r="U168" s="19"/>
      <c r="V168" s="45" t="s">
        <v>87</v>
      </c>
      <c r="W168" s="47"/>
      <c r="X168" s="47"/>
      <c r="Y168" s="47"/>
      <c r="Z168" s="47"/>
      <c r="AA168" s="45" t="s">
        <v>88</v>
      </c>
      <c r="AB168" s="19"/>
      <c r="AC168" s="19"/>
      <c r="AD168" s="19"/>
    </row>
    <row r="169" spans="1:30" x14ac:dyDescent="0.3">
      <c r="B169" s="19" t="s">
        <v>188</v>
      </c>
      <c r="C169" s="19" t="s">
        <v>271</v>
      </c>
      <c r="D169" s="19"/>
      <c r="E169" s="19"/>
      <c r="F169" s="19"/>
      <c r="G169" s="19"/>
      <c r="H169" s="45"/>
      <c r="I169" s="19"/>
      <c r="J169" s="19"/>
      <c r="K169" s="19"/>
      <c r="L169" s="45"/>
      <c r="M169" s="45"/>
      <c r="N169" s="45"/>
      <c r="O169" s="19"/>
      <c r="P169" s="19"/>
      <c r="Q169" s="19"/>
      <c r="R169" s="45"/>
      <c r="S169" s="19"/>
      <c r="T169" s="19"/>
      <c r="U169" s="19"/>
      <c r="V169" s="45" t="s">
        <v>87</v>
      </c>
      <c r="W169" s="47"/>
      <c r="X169" s="47"/>
      <c r="Y169" s="47"/>
      <c r="Z169" s="47"/>
      <c r="AA169" s="45" t="s">
        <v>88</v>
      </c>
      <c r="AB169" s="19"/>
      <c r="AC169" s="19"/>
      <c r="AD169" s="19"/>
    </row>
    <row r="170" spans="1:30" x14ac:dyDescent="0.3">
      <c r="B170" s="19" t="s">
        <v>203</v>
      </c>
      <c r="C170" s="19" t="s">
        <v>272</v>
      </c>
      <c r="D170" s="19"/>
      <c r="E170" s="19"/>
      <c r="F170" s="19"/>
      <c r="G170" s="19"/>
      <c r="H170" s="45"/>
      <c r="I170" s="19"/>
      <c r="J170" s="19"/>
      <c r="K170" s="19"/>
      <c r="L170" s="45"/>
      <c r="M170" s="45"/>
      <c r="N170" s="45"/>
      <c r="O170" s="19"/>
      <c r="P170" s="19"/>
      <c r="Q170" s="19"/>
      <c r="R170" s="45"/>
      <c r="S170" s="19"/>
      <c r="T170" s="19"/>
      <c r="U170" s="19"/>
      <c r="V170" s="45" t="s">
        <v>87</v>
      </c>
      <c r="W170" s="47"/>
      <c r="X170" s="47"/>
      <c r="Y170" s="47"/>
      <c r="Z170" s="47"/>
      <c r="AA170" s="45" t="s">
        <v>88</v>
      </c>
      <c r="AB170" s="19"/>
      <c r="AC170" s="19"/>
      <c r="AD170" s="19"/>
    </row>
    <row r="171" spans="1:30" x14ac:dyDescent="0.3">
      <c r="B171" s="19" t="s">
        <v>255</v>
      </c>
      <c r="C171" s="19" t="s">
        <v>273</v>
      </c>
      <c r="D171" s="19"/>
      <c r="E171" s="19"/>
      <c r="F171" s="19"/>
      <c r="G171" s="19"/>
      <c r="H171" s="45"/>
      <c r="I171" s="19"/>
      <c r="J171" s="19"/>
      <c r="K171" s="19"/>
      <c r="L171" s="45"/>
      <c r="M171" s="45"/>
      <c r="N171" s="45"/>
      <c r="O171" s="19"/>
      <c r="P171" s="19"/>
      <c r="Q171" s="19"/>
      <c r="R171" s="45"/>
      <c r="S171" s="19"/>
      <c r="T171" s="19"/>
      <c r="U171" s="19"/>
      <c r="V171" s="45" t="s">
        <v>87</v>
      </c>
      <c r="W171" s="47"/>
      <c r="X171" s="47"/>
      <c r="Y171" s="47"/>
      <c r="Z171" s="47"/>
      <c r="AA171" s="45" t="s">
        <v>88</v>
      </c>
      <c r="AB171" s="19"/>
      <c r="AC171" s="19"/>
      <c r="AD171" s="19"/>
    </row>
    <row r="172" spans="1:30" ht="14.5" x14ac:dyDescent="0.3">
      <c r="A172" s="19">
        <f>+A165+1</f>
        <v>414</v>
      </c>
      <c r="B172" s="19" t="s">
        <v>274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51"/>
    </row>
    <row r="173" spans="1:30" x14ac:dyDescent="0.3">
      <c r="B173" s="19" t="s">
        <v>275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19"/>
      <c r="S173" s="21"/>
      <c r="T173" s="19"/>
      <c r="U173" s="21"/>
      <c r="V173" s="21"/>
      <c r="W173" s="22"/>
      <c r="X173" s="51"/>
      <c r="Y173" s="51"/>
      <c r="Z173" s="51"/>
      <c r="AA173" s="53"/>
      <c r="AB173" s="51"/>
      <c r="AC173" s="51"/>
      <c r="AD173" s="51"/>
    </row>
    <row r="174" spans="1:30" x14ac:dyDescent="0.3">
      <c r="B174" s="19" t="s">
        <v>276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19"/>
      <c r="S174" s="21"/>
      <c r="T174" s="19"/>
      <c r="U174" s="21"/>
      <c r="V174" s="21"/>
      <c r="W174" s="22"/>
      <c r="X174" s="51"/>
      <c r="Y174" s="51"/>
      <c r="Z174" s="51"/>
      <c r="AA174" s="53"/>
      <c r="AB174" s="51"/>
      <c r="AC174" s="51"/>
      <c r="AD174" s="51"/>
    </row>
    <row r="175" spans="1:30" x14ac:dyDescent="0.3">
      <c r="B175" s="19" t="s">
        <v>277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19"/>
      <c r="S175" s="21"/>
      <c r="T175" s="19"/>
      <c r="U175" s="21"/>
      <c r="V175" s="21"/>
      <c r="W175" s="22"/>
      <c r="X175" s="51"/>
      <c r="Y175" s="51"/>
      <c r="Z175" s="51"/>
      <c r="AA175" s="53"/>
      <c r="AB175" s="51"/>
      <c r="AC175" s="51"/>
      <c r="AD175" s="51"/>
    </row>
    <row r="176" spans="1:30" x14ac:dyDescent="0.3">
      <c r="B176" s="19" t="s">
        <v>278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19"/>
      <c r="S176" s="21"/>
      <c r="T176" s="19"/>
      <c r="U176" s="21"/>
      <c r="V176" s="21"/>
      <c r="W176" s="22"/>
      <c r="X176" s="51"/>
      <c r="Y176" s="51"/>
      <c r="Z176" s="51"/>
      <c r="AA176" s="53"/>
      <c r="AB176" s="51"/>
      <c r="AC176" s="51"/>
      <c r="AD176" s="51"/>
    </row>
    <row r="177" spans="1:30" x14ac:dyDescent="0.3">
      <c r="B177" s="19" t="s">
        <v>279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19"/>
      <c r="S177" s="21"/>
      <c r="T177" s="19"/>
      <c r="U177" s="21"/>
      <c r="V177" s="21"/>
      <c r="W177" s="22"/>
      <c r="X177" s="51"/>
      <c r="Y177" s="51"/>
      <c r="Z177" s="51"/>
      <c r="AA177" s="53"/>
      <c r="AB177" s="51"/>
      <c r="AC177" s="51"/>
      <c r="AD177" s="51"/>
    </row>
    <row r="178" spans="1:30" x14ac:dyDescent="0.3">
      <c r="B178" s="19" t="s">
        <v>280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19"/>
      <c r="S178" s="21"/>
      <c r="T178" s="19"/>
      <c r="U178" s="21"/>
      <c r="V178" s="21"/>
      <c r="W178" s="22"/>
      <c r="X178" s="51"/>
      <c r="Y178" s="51"/>
      <c r="Z178" s="51"/>
      <c r="AA178" s="53"/>
      <c r="AB178" s="51"/>
      <c r="AC178" s="51"/>
      <c r="AD178" s="51"/>
    </row>
    <row r="179" spans="1:30" ht="14.5" x14ac:dyDescent="0.35">
      <c r="A179" s="116" t="s">
        <v>123</v>
      </c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64"/>
    </row>
    <row r="180" spans="1:30" ht="32.25" customHeight="1" x14ac:dyDescent="0.35">
      <c r="A180" s="117" t="s">
        <v>281</v>
      </c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/>
    </row>
    <row r="181" spans="1:30" ht="14.5" x14ac:dyDescent="0.35">
      <c r="A181" s="14" t="s">
        <v>125</v>
      </c>
      <c r="B181" s="14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 ht="14.5" x14ac:dyDescent="0.35">
      <c r="A182" s="14" t="s">
        <v>126</v>
      </c>
      <c r="B182" s="14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:30" ht="14.5" x14ac:dyDescent="0.35">
      <c r="A183" s="14" t="s">
        <v>127</v>
      </c>
      <c r="B183" s="14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ht="14.5" x14ac:dyDescent="0.35">
      <c r="A184" s="14" t="s">
        <v>128</v>
      </c>
      <c r="B184" s="1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:30" ht="14.5" x14ac:dyDescent="0.3">
      <c r="A185" s="14" t="s">
        <v>282</v>
      </c>
    </row>
  </sheetData>
  <mergeCells count="21">
    <mergeCell ref="A9:AC9"/>
    <mergeCell ref="A1:AC3"/>
    <mergeCell ref="A4:AC4"/>
    <mergeCell ref="A5:AC5"/>
    <mergeCell ref="A6:AC6"/>
    <mergeCell ref="A7:C7"/>
    <mergeCell ref="A179:AC179"/>
    <mergeCell ref="A180:AC180"/>
    <mergeCell ref="A127:AC127"/>
    <mergeCell ref="B97:AD97"/>
    <mergeCell ref="A21:AC21"/>
    <mergeCell ref="A41:AC41"/>
    <mergeCell ref="A49:AC49"/>
    <mergeCell ref="A50:AC50"/>
    <mergeCell ref="A57:AC57"/>
    <mergeCell ref="A58:AC58"/>
    <mergeCell ref="A59:AC59"/>
    <mergeCell ref="A60:C60"/>
    <mergeCell ref="A62:AC62"/>
    <mergeCell ref="A77:AC77"/>
    <mergeCell ref="A95:AC95"/>
  </mergeCells>
  <printOptions horizontalCentered="1"/>
  <pageMargins left="0.25" right="0.25" top="0.75" bottom="0.75" header="0.3" footer="0.3"/>
  <pageSetup paperSize="9" scale="67" fitToWidth="0" fitToHeight="0" orientation="portrait" r:id="rId1"/>
  <rowBreaks count="1" manualBreakCount="1">
    <brk id="126" max="2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F119-3443-4E8E-B467-529FBF771C19}">
  <sheetPr>
    <tabColor theme="6"/>
  </sheetPr>
  <dimension ref="A1:AE110"/>
  <sheetViews>
    <sheetView tabSelected="1" view="pageBreakPreview" topLeftCell="A91" zoomScale="70" zoomScaleNormal="100" zoomScaleSheetLayoutView="70" workbookViewId="0">
      <selection activeCell="AN101" sqref="AN101"/>
    </sheetView>
  </sheetViews>
  <sheetFormatPr defaultColWidth="9.453125" defaultRowHeight="14" x14ac:dyDescent="0.3"/>
  <cols>
    <col min="1" max="1" width="4.54296875" style="19" customWidth="1"/>
    <col min="2" max="2" width="4.453125" style="19" customWidth="1"/>
    <col min="3" max="9" width="4.453125" style="15" customWidth="1"/>
    <col min="10" max="23" width="3.453125" style="15" customWidth="1"/>
    <col min="24" max="24" width="3.26953125" style="15" customWidth="1"/>
    <col min="25" max="29" width="3.453125" style="15" customWidth="1"/>
    <col min="30" max="30" width="4" style="15" customWidth="1"/>
    <col min="31" max="16384" width="9.453125" style="15"/>
  </cols>
  <sheetData>
    <row r="1" spans="1:31" ht="13.9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</row>
    <row r="2" spans="1:31" ht="14.25" customHeight="1" x14ac:dyDescent="0.3">
      <c r="A2" s="129" t="s">
        <v>283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98"/>
      <c r="AE2" s="16" t="s">
        <v>131</v>
      </c>
    </row>
    <row r="3" spans="1:31" ht="14.25" customHeight="1" x14ac:dyDescent="0.3">
      <c r="A3" s="122" t="s">
        <v>52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92"/>
      <c r="AE3" s="16">
        <v>9</v>
      </c>
    </row>
    <row r="4" spans="1:31" ht="14.25" customHeight="1" x14ac:dyDescent="0.3">
      <c r="A4" s="130" t="s">
        <v>284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97"/>
    </row>
    <row r="5" spans="1:31" ht="13.9" customHeight="1" x14ac:dyDescent="0.3">
      <c r="A5" s="124" t="s">
        <v>54</v>
      </c>
      <c r="B5" s="124"/>
      <c r="C5" s="124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1" ht="30" x14ac:dyDescent="0.3">
      <c r="A6" s="18" t="s">
        <v>55</v>
      </c>
      <c r="F6" s="15" t="s">
        <v>56</v>
      </c>
      <c r="H6" s="15" t="s">
        <v>57</v>
      </c>
      <c r="I6" s="15">
        <v>6</v>
      </c>
      <c r="J6" s="15" t="s">
        <v>58</v>
      </c>
    </row>
    <row r="7" spans="1:31" x14ac:dyDescent="0.3">
      <c r="A7" s="18"/>
    </row>
    <row r="8" spans="1:31" ht="15" customHeight="1" x14ac:dyDescent="0.3">
      <c r="A8" s="131" t="s">
        <v>285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96"/>
    </row>
    <row r="9" spans="1:31" s="21" customFormat="1" ht="15" customHeight="1" x14ac:dyDescent="0.35">
      <c r="A9" s="19">
        <v>101</v>
      </c>
      <c r="B9" s="19" t="s">
        <v>49</v>
      </c>
      <c r="I9" s="21" t="s">
        <v>57</v>
      </c>
      <c r="J9" s="22"/>
      <c r="K9" s="24"/>
      <c r="L9" s="24"/>
      <c r="M9" s="24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31" s="21" customFormat="1" ht="18" customHeight="1" x14ac:dyDescent="0.35">
      <c r="A10" s="19">
        <v>102</v>
      </c>
      <c r="B10" s="19" t="s">
        <v>62</v>
      </c>
      <c r="I10" s="21" t="s">
        <v>57</v>
      </c>
      <c r="J10" s="85"/>
      <c r="K10" s="39"/>
      <c r="L10" s="39" t="s">
        <v>286</v>
      </c>
      <c r="M10" s="39"/>
      <c r="N10" s="39"/>
      <c r="O10" s="39"/>
      <c r="P10" s="39"/>
      <c r="R10" s="39" t="s">
        <v>287</v>
      </c>
      <c r="S10" s="39"/>
      <c r="T10" s="39"/>
      <c r="V10" s="39" t="s">
        <v>288</v>
      </c>
      <c r="W10" s="39"/>
      <c r="X10" s="39"/>
      <c r="Y10" s="39"/>
      <c r="Z10" s="39" t="s">
        <v>289</v>
      </c>
      <c r="AA10" s="39"/>
      <c r="AB10" s="39"/>
      <c r="AC10" s="39"/>
    </row>
    <row r="11" spans="1:31" s="21" customFormat="1" ht="18" customHeight="1" x14ac:dyDescent="0.35">
      <c r="A11" s="19"/>
      <c r="B11" s="19"/>
      <c r="K11" s="39"/>
      <c r="L11" s="86" t="s">
        <v>290</v>
      </c>
      <c r="M11" s="39"/>
      <c r="N11" s="39"/>
      <c r="O11" s="39"/>
      <c r="P11" s="39"/>
      <c r="Q11" s="39"/>
      <c r="R11" s="39" t="s">
        <v>291</v>
      </c>
      <c r="T11" s="39"/>
      <c r="V11" s="39" t="s">
        <v>292</v>
      </c>
      <c r="X11" s="39"/>
      <c r="Z11" s="39" t="s">
        <v>293</v>
      </c>
      <c r="AB11" s="39"/>
      <c r="AC11" s="39"/>
    </row>
    <row r="12" spans="1:31" s="21" customFormat="1" ht="18" customHeight="1" x14ac:dyDescent="0.35">
      <c r="A12" s="19">
        <v>103</v>
      </c>
      <c r="B12" s="19" t="s">
        <v>294</v>
      </c>
      <c r="I12" s="21" t="s">
        <v>57</v>
      </c>
      <c r="J12" s="85"/>
      <c r="K12" s="39"/>
      <c r="L12" s="86" t="s">
        <v>295</v>
      </c>
      <c r="M12" s="39"/>
      <c r="N12" s="39"/>
      <c r="O12" s="39"/>
      <c r="P12" s="39"/>
      <c r="R12" s="39" t="s">
        <v>296</v>
      </c>
      <c r="T12" s="39"/>
      <c r="V12" s="39" t="s">
        <v>297</v>
      </c>
      <c r="X12" s="39"/>
      <c r="Z12" s="39"/>
      <c r="AB12" s="39"/>
      <c r="AC12" s="39"/>
    </row>
    <row r="13" spans="1:31" s="21" customFormat="1" ht="18" customHeight="1" x14ac:dyDescent="0.35">
      <c r="A13" s="19"/>
      <c r="B13" s="19"/>
      <c r="K13" s="39"/>
      <c r="L13" s="39" t="s">
        <v>298</v>
      </c>
      <c r="R13" s="86" t="s">
        <v>299</v>
      </c>
      <c r="S13" s="39"/>
      <c r="T13" s="39"/>
      <c r="U13" s="39"/>
      <c r="V13" s="39" t="s">
        <v>300</v>
      </c>
      <c r="W13" s="39"/>
      <c r="X13" s="39"/>
      <c r="Y13" s="39"/>
      <c r="Z13" s="39"/>
      <c r="AB13" s="39"/>
      <c r="AC13" s="39"/>
    </row>
    <row r="14" spans="1:31" s="21" customFormat="1" ht="18" customHeight="1" x14ac:dyDescent="0.35">
      <c r="A14" s="19">
        <v>104</v>
      </c>
      <c r="B14" s="19" t="s">
        <v>301</v>
      </c>
      <c r="I14" s="21" t="s">
        <v>57</v>
      </c>
      <c r="J14" s="85"/>
      <c r="K14" s="85"/>
      <c r="L14" s="87" t="s">
        <v>302</v>
      </c>
      <c r="M14" s="85"/>
      <c r="N14" s="85"/>
      <c r="O14" s="85"/>
      <c r="P14" s="85"/>
      <c r="Q14" s="39"/>
      <c r="R14" s="39" t="s">
        <v>303</v>
      </c>
      <c r="S14" s="39"/>
      <c r="U14" s="39"/>
      <c r="W14" s="39"/>
      <c r="Y14" s="39"/>
    </row>
    <row r="15" spans="1:31" s="21" customFormat="1" ht="18" customHeight="1" x14ac:dyDescent="0.35">
      <c r="A15" s="19">
        <f>A14+1</f>
        <v>105</v>
      </c>
      <c r="B15" s="19" t="s">
        <v>1</v>
      </c>
      <c r="I15" s="21" t="s">
        <v>57</v>
      </c>
      <c r="J15" s="22"/>
      <c r="K15" s="24"/>
      <c r="L15" s="23"/>
      <c r="M15" s="25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31" s="21" customFormat="1" ht="18" customHeight="1" x14ac:dyDescent="0.35">
      <c r="A16" s="19">
        <f>A15+1</f>
        <v>106</v>
      </c>
      <c r="B16" s="19" t="s">
        <v>48</v>
      </c>
      <c r="I16" s="21" t="s">
        <v>57</v>
      </c>
      <c r="J16" s="22"/>
      <c r="K16" s="24"/>
      <c r="L16" s="23"/>
      <c r="M16" s="25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31" s="21" customFormat="1" ht="18" customHeight="1" x14ac:dyDescent="0.35">
      <c r="A17" s="19">
        <f>A16+1</f>
        <v>107</v>
      </c>
      <c r="B17" s="19" t="s">
        <v>47</v>
      </c>
      <c r="I17" s="21" t="s">
        <v>57</v>
      </c>
      <c r="J17" s="22"/>
      <c r="K17" s="24"/>
      <c r="L17" s="22"/>
      <c r="M17" s="25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31" s="21" customFormat="1" ht="7.5" customHeight="1" x14ac:dyDescent="0.35">
      <c r="A18" s="19"/>
      <c r="B18" s="19"/>
      <c r="L18" s="38"/>
      <c r="O18" s="38"/>
      <c r="T18" s="39"/>
      <c r="AA18" s="38"/>
    </row>
    <row r="19" spans="1:31" ht="13.9" customHeight="1" x14ac:dyDescent="0.3">
      <c r="A19" s="131" t="s">
        <v>304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</row>
    <row r="20" spans="1:31" s="21" customFormat="1" x14ac:dyDescent="0.35">
      <c r="A20" s="19">
        <v>201</v>
      </c>
      <c r="B20" s="21" t="s">
        <v>305</v>
      </c>
      <c r="P20" s="91"/>
      <c r="Q20" s="93" t="s">
        <v>306</v>
      </c>
      <c r="X20" s="93" t="s">
        <v>307</v>
      </c>
      <c r="AB20" s="19"/>
    </row>
    <row r="21" spans="1:31" ht="14.5" x14ac:dyDescent="0.35">
      <c r="A21" s="19">
        <f>A20+1</f>
        <v>202</v>
      </c>
      <c r="B21" s="21" t="s">
        <v>308</v>
      </c>
      <c r="C21" s="21"/>
      <c r="D21" s="21"/>
      <c r="E21" s="21"/>
      <c r="F21" s="21"/>
      <c r="G21" s="21"/>
      <c r="H21" s="21"/>
      <c r="I21" s="21"/>
      <c r="J21" s="21"/>
      <c r="K21" s="21"/>
      <c r="O21" s="85"/>
      <c r="P21" s="85"/>
      <c r="Q21" s="94" t="s">
        <v>309</v>
      </c>
      <c r="R21" s="21"/>
      <c r="S21" s="39"/>
      <c r="T21" s="21"/>
      <c r="W21" s="39"/>
      <c r="X21" s="21"/>
      <c r="Y21" s="21"/>
      <c r="Z21" s="39"/>
      <c r="AA21" s="28"/>
      <c r="AB21" s="39"/>
      <c r="AC21" s="21"/>
      <c r="AD21" s="21"/>
      <c r="AE21"/>
    </row>
    <row r="22" spans="1:31" ht="14.5" x14ac:dyDescent="0.35">
      <c r="B22" s="21"/>
      <c r="C22" s="21"/>
      <c r="D22" s="21"/>
      <c r="E22" s="21"/>
      <c r="F22" s="21"/>
      <c r="G22" s="21"/>
      <c r="H22" s="21"/>
      <c r="I22" s="21"/>
      <c r="J22" s="21"/>
      <c r="K22" s="21"/>
      <c r="O22" s="21"/>
      <c r="P22" s="21"/>
      <c r="Q22" s="94" t="s">
        <v>310</v>
      </c>
      <c r="R22" s="21"/>
      <c r="S22" s="39"/>
      <c r="T22" s="21"/>
      <c r="W22" s="39"/>
      <c r="X22" s="21"/>
      <c r="Y22" s="21"/>
      <c r="Z22" s="39"/>
      <c r="AA22" s="28"/>
      <c r="AB22" s="39"/>
      <c r="AC22" s="21"/>
      <c r="AD22" s="21"/>
      <c r="AE22"/>
    </row>
    <row r="23" spans="1:31" ht="14.5" x14ac:dyDescent="0.35">
      <c r="B23" s="21"/>
      <c r="C23" s="21"/>
      <c r="D23" s="21"/>
      <c r="E23" s="21"/>
      <c r="F23" s="21"/>
      <c r="G23" s="21"/>
      <c r="H23" s="21"/>
      <c r="I23" s="21"/>
      <c r="J23" s="21"/>
      <c r="K23" s="21"/>
      <c r="O23" s="21"/>
      <c r="P23" s="21"/>
      <c r="Q23" s="94" t="s">
        <v>311</v>
      </c>
      <c r="R23" s="21"/>
      <c r="S23" s="39"/>
      <c r="T23" s="21"/>
      <c r="W23" s="39"/>
      <c r="X23" s="21"/>
      <c r="Y23" s="21"/>
      <c r="Z23" s="39"/>
      <c r="AA23" s="28"/>
      <c r="AB23" s="39"/>
      <c r="AC23" s="21"/>
      <c r="AD23" s="21"/>
      <c r="AE23"/>
    </row>
    <row r="24" spans="1:31" ht="14.5" x14ac:dyDescent="0.35">
      <c r="B24" s="21"/>
      <c r="C24" s="21"/>
      <c r="D24" s="21"/>
      <c r="E24" s="21"/>
      <c r="F24" s="21"/>
      <c r="G24" s="21"/>
      <c r="H24" s="21"/>
      <c r="I24" s="21"/>
      <c r="J24" s="21"/>
      <c r="K24" s="21"/>
      <c r="O24" s="21"/>
      <c r="P24" s="21"/>
      <c r="Q24" s="94" t="s">
        <v>312</v>
      </c>
      <c r="R24" s="21"/>
      <c r="S24" s="39"/>
      <c r="T24" s="21"/>
      <c r="W24" s="39"/>
      <c r="X24" s="21"/>
      <c r="Y24" s="21"/>
      <c r="Z24" s="39"/>
      <c r="AA24" s="28"/>
      <c r="AB24" s="39"/>
      <c r="AC24" s="21"/>
      <c r="AD24" s="21"/>
      <c r="AE24"/>
    </row>
    <row r="25" spans="1:31" ht="14.5" x14ac:dyDescent="0.35">
      <c r="B25" s="21"/>
      <c r="C25" s="21"/>
      <c r="D25" s="21"/>
      <c r="E25" s="21"/>
      <c r="F25" s="21"/>
      <c r="G25" s="21"/>
      <c r="H25" s="21"/>
      <c r="I25" s="21"/>
      <c r="J25" s="21"/>
      <c r="K25" s="21"/>
      <c r="O25" s="21"/>
      <c r="P25" s="21"/>
      <c r="Q25" s="94" t="s">
        <v>313</v>
      </c>
      <c r="R25" s="21"/>
      <c r="S25" s="39"/>
      <c r="T25" s="21"/>
      <c r="W25" s="39"/>
      <c r="X25" s="21"/>
      <c r="Y25" s="21"/>
      <c r="Z25" s="39"/>
      <c r="AA25" s="28"/>
      <c r="AB25" s="39"/>
      <c r="AC25" s="21"/>
      <c r="AD25" s="21"/>
      <c r="AE25"/>
    </row>
    <row r="26" spans="1:31" ht="14.5" x14ac:dyDescent="0.35">
      <c r="B26" s="21"/>
      <c r="C26" s="21"/>
      <c r="D26" s="21"/>
      <c r="E26" s="21"/>
      <c r="F26" s="21"/>
      <c r="G26" s="21"/>
      <c r="H26" s="21"/>
      <c r="I26" s="21"/>
      <c r="J26" s="21"/>
      <c r="K26" s="21"/>
      <c r="O26" s="21"/>
      <c r="P26" s="21"/>
      <c r="Q26" s="94" t="s">
        <v>314</v>
      </c>
      <c r="R26" s="21"/>
      <c r="S26" s="39"/>
      <c r="T26" s="21"/>
      <c r="W26" s="39"/>
      <c r="X26" s="21"/>
      <c r="Y26" s="21"/>
      <c r="Z26" s="39"/>
      <c r="AA26" s="28"/>
      <c r="AB26" s="39"/>
      <c r="AC26" s="21"/>
      <c r="AD26" s="21"/>
      <c r="AE26"/>
    </row>
    <row r="27" spans="1:31" ht="14.5" x14ac:dyDescent="0.35">
      <c r="B27" s="21"/>
      <c r="C27" s="21"/>
      <c r="D27" s="21"/>
      <c r="E27" s="21"/>
      <c r="F27" s="21"/>
      <c r="G27" s="21"/>
      <c r="H27" s="21"/>
      <c r="I27" s="21"/>
      <c r="J27" s="21"/>
      <c r="K27" s="21"/>
      <c r="O27" s="21"/>
      <c r="P27" s="21"/>
      <c r="Q27" s="94" t="s">
        <v>315</v>
      </c>
      <c r="R27" s="21"/>
      <c r="S27" s="39"/>
      <c r="T27" s="21"/>
      <c r="W27" s="39"/>
      <c r="X27" s="21"/>
      <c r="Y27" s="21"/>
      <c r="Z27" s="39"/>
      <c r="AA27" s="28"/>
      <c r="AB27" s="39"/>
      <c r="AC27" s="21"/>
      <c r="AD27" s="21"/>
      <c r="AE27"/>
    </row>
    <row r="28" spans="1:31" ht="14.5" x14ac:dyDescent="0.35">
      <c r="B28" s="21"/>
      <c r="C28" s="21"/>
      <c r="D28" s="21"/>
      <c r="E28" s="21"/>
      <c r="F28" s="21"/>
      <c r="G28" s="21"/>
      <c r="H28" s="21"/>
      <c r="I28" s="21"/>
      <c r="J28" s="21"/>
      <c r="K28" s="21"/>
      <c r="O28" s="21"/>
      <c r="P28" s="21"/>
      <c r="Q28" s="94" t="s">
        <v>316</v>
      </c>
      <c r="R28" s="21"/>
      <c r="S28" s="39"/>
      <c r="T28" s="21"/>
      <c r="W28" s="39"/>
      <c r="X28" s="21"/>
      <c r="Y28" s="21"/>
      <c r="Z28" s="39"/>
      <c r="AA28" s="28"/>
      <c r="AB28" s="39"/>
      <c r="AC28" s="21"/>
      <c r="AD28" s="21"/>
      <c r="AE28"/>
    </row>
    <row r="29" spans="1:31" ht="14.5" x14ac:dyDescent="0.35">
      <c r="B29" s="21"/>
      <c r="C29" s="21"/>
      <c r="D29" s="21"/>
      <c r="E29" s="21"/>
      <c r="F29" s="21"/>
      <c r="G29" s="21"/>
      <c r="H29" s="21"/>
      <c r="I29" s="21"/>
      <c r="J29" s="21"/>
      <c r="K29" s="21"/>
      <c r="O29" s="21"/>
      <c r="P29" s="21"/>
      <c r="Q29" s="94" t="s">
        <v>317</v>
      </c>
      <c r="R29" s="21"/>
      <c r="S29" s="39"/>
      <c r="T29" s="21"/>
      <c r="W29" s="39"/>
      <c r="X29" s="21"/>
      <c r="Y29" s="21"/>
      <c r="Z29" s="39"/>
      <c r="AA29" s="28"/>
      <c r="AB29" s="39"/>
      <c r="AC29" s="21"/>
      <c r="AD29" s="21"/>
      <c r="AE29"/>
    </row>
    <row r="30" spans="1:31" ht="14.5" x14ac:dyDescent="0.35">
      <c r="B30" s="21"/>
      <c r="C30" s="21"/>
      <c r="D30" s="21"/>
      <c r="E30" s="21"/>
      <c r="F30" s="21"/>
      <c r="G30" s="21"/>
      <c r="H30" s="21"/>
      <c r="I30" s="21"/>
      <c r="J30" s="21"/>
      <c r="K30" s="21"/>
      <c r="O30" s="21"/>
      <c r="P30" s="21"/>
      <c r="Q30" s="94" t="s">
        <v>318</v>
      </c>
      <c r="R30" s="21"/>
      <c r="S30" s="39"/>
      <c r="T30" s="21"/>
      <c r="W30" s="39"/>
      <c r="X30" s="21"/>
      <c r="Y30" s="21"/>
      <c r="Z30" s="39"/>
      <c r="AA30" s="28"/>
      <c r="AB30" s="39"/>
      <c r="AC30" s="21"/>
      <c r="AD30" s="21"/>
      <c r="AE30"/>
    </row>
    <row r="31" spans="1:31" ht="14.5" x14ac:dyDescent="0.35">
      <c r="B31" s="21"/>
      <c r="C31" s="21"/>
      <c r="D31" s="21"/>
      <c r="E31" s="21"/>
      <c r="F31" s="21"/>
      <c r="G31" s="21"/>
      <c r="H31" s="21"/>
      <c r="I31" s="21"/>
      <c r="J31" s="21"/>
      <c r="K31" s="21"/>
      <c r="O31" s="21"/>
      <c r="P31" s="21"/>
      <c r="Q31" s="94" t="s">
        <v>319</v>
      </c>
      <c r="R31" s="21"/>
      <c r="S31" s="39"/>
      <c r="T31" s="21"/>
      <c r="W31" s="39"/>
      <c r="X31" s="21"/>
      <c r="Y31" s="21"/>
      <c r="Z31" s="39"/>
      <c r="AA31" s="28"/>
      <c r="AB31" s="39"/>
      <c r="AC31" s="21"/>
      <c r="AD31" s="21"/>
      <c r="AE31"/>
    </row>
    <row r="32" spans="1:31" ht="14.5" x14ac:dyDescent="0.35">
      <c r="B32" s="21"/>
      <c r="C32" s="21"/>
      <c r="D32" s="21"/>
      <c r="E32" s="21"/>
      <c r="F32" s="21"/>
      <c r="G32" s="21"/>
      <c r="H32" s="21"/>
      <c r="I32" s="21"/>
      <c r="J32" s="21"/>
      <c r="K32" s="21"/>
      <c r="O32" s="21"/>
      <c r="P32" s="21"/>
      <c r="Q32" s="94" t="s">
        <v>320</v>
      </c>
      <c r="R32" s="21"/>
      <c r="S32" s="39"/>
      <c r="T32" s="21"/>
      <c r="W32" s="39"/>
      <c r="X32" s="21"/>
      <c r="Y32" s="21"/>
      <c r="Z32" s="39"/>
      <c r="AA32" s="28"/>
      <c r="AB32" s="39"/>
      <c r="AC32" s="21"/>
      <c r="AD32" s="21"/>
      <c r="AE32"/>
    </row>
    <row r="33" spans="1:31" ht="14.5" x14ac:dyDescent="0.35">
      <c r="B33" s="21"/>
      <c r="C33" s="21"/>
      <c r="D33" s="21"/>
      <c r="E33" s="21"/>
      <c r="F33" s="21"/>
      <c r="G33" s="21"/>
      <c r="H33" s="21"/>
      <c r="I33" s="21"/>
      <c r="J33" s="21"/>
      <c r="K33" s="21"/>
      <c r="O33" s="21"/>
      <c r="P33" s="21"/>
      <c r="Q33" s="94" t="s">
        <v>321</v>
      </c>
      <c r="R33" s="21"/>
      <c r="S33" s="39"/>
      <c r="T33" s="21"/>
      <c r="W33" s="39"/>
      <c r="X33" s="21"/>
      <c r="Y33" s="21"/>
      <c r="Z33" s="39"/>
      <c r="AA33" s="28"/>
      <c r="AB33" s="39"/>
      <c r="AC33" s="21"/>
      <c r="AD33" s="21"/>
      <c r="AE33"/>
    </row>
    <row r="34" spans="1:31" ht="14.5" x14ac:dyDescent="0.35">
      <c r="B34" s="21"/>
      <c r="C34" s="21"/>
      <c r="D34" s="21"/>
      <c r="E34" s="21"/>
      <c r="F34" s="21"/>
      <c r="G34" s="21"/>
      <c r="H34" s="21"/>
      <c r="I34" s="21"/>
      <c r="J34" s="21"/>
      <c r="K34" s="21"/>
      <c r="O34" s="21"/>
      <c r="P34" s="21"/>
      <c r="Q34" s="94" t="s">
        <v>322</v>
      </c>
      <c r="R34" s="21"/>
      <c r="S34" s="39"/>
      <c r="T34" s="21"/>
      <c r="W34" s="39"/>
      <c r="X34" s="21"/>
      <c r="Y34" s="21"/>
      <c r="Z34" s="39"/>
      <c r="AA34" s="28"/>
      <c r="AB34" s="39"/>
      <c r="AC34" s="21"/>
      <c r="AD34" s="21"/>
      <c r="AE34"/>
    </row>
    <row r="35" spans="1:31" ht="14.5" x14ac:dyDescent="0.35">
      <c r="B35" s="21"/>
      <c r="C35" s="21"/>
      <c r="D35" s="21"/>
      <c r="E35" s="21"/>
      <c r="F35" s="21"/>
      <c r="G35" s="21"/>
      <c r="H35" s="21"/>
      <c r="I35" s="21"/>
      <c r="J35" s="21"/>
      <c r="K35" s="21"/>
      <c r="O35" s="21"/>
      <c r="P35" s="21"/>
      <c r="Q35" s="94" t="s">
        <v>323</v>
      </c>
      <c r="R35" s="21"/>
      <c r="S35" s="39"/>
      <c r="T35" s="21"/>
      <c r="W35" s="39"/>
      <c r="X35" s="21"/>
      <c r="Y35" s="21"/>
      <c r="Z35" s="39"/>
      <c r="AA35" s="28"/>
      <c r="AB35" s="39"/>
      <c r="AC35" s="21"/>
      <c r="AD35" s="21"/>
      <c r="AE35"/>
    </row>
    <row r="36" spans="1:31" ht="14.5" x14ac:dyDescent="0.35">
      <c r="B36" s="21"/>
      <c r="C36" s="21"/>
      <c r="D36" s="21"/>
      <c r="E36" s="21"/>
      <c r="F36" s="21"/>
      <c r="G36" s="21"/>
      <c r="H36" s="21"/>
      <c r="I36" s="21"/>
      <c r="J36" s="21"/>
      <c r="K36" s="21"/>
      <c r="O36" s="21"/>
      <c r="P36" s="21"/>
      <c r="Q36" s="94" t="s">
        <v>324</v>
      </c>
      <c r="R36" s="21"/>
      <c r="S36" s="39"/>
      <c r="T36" s="21"/>
      <c r="W36" s="39"/>
      <c r="X36" s="21"/>
      <c r="Y36" s="21"/>
      <c r="Z36" s="39"/>
      <c r="AA36" s="28"/>
      <c r="AB36" s="39"/>
      <c r="AC36" s="21"/>
      <c r="AD36" s="21"/>
      <c r="AE36"/>
    </row>
    <row r="37" spans="1:31" ht="14.5" x14ac:dyDescent="0.35">
      <c r="B37" s="21"/>
      <c r="C37" s="21"/>
      <c r="D37" s="21"/>
      <c r="E37" s="21"/>
      <c r="F37" s="21"/>
      <c r="G37" s="21"/>
      <c r="H37" s="21"/>
      <c r="I37" s="21"/>
      <c r="J37" s="21"/>
      <c r="K37" s="21"/>
      <c r="O37" s="21"/>
      <c r="P37" s="21"/>
      <c r="Q37" s="94" t="s">
        <v>325</v>
      </c>
      <c r="R37" s="21"/>
      <c r="S37" s="39"/>
      <c r="T37" s="21"/>
      <c r="W37" s="39"/>
      <c r="X37" s="21"/>
      <c r="Y37" s="21"/>
      <c r="Z37" s="39"/>
      <c r="AA37" s="28"/>
      <c r="AB37" s="39"/>
      <c r="AC37" s="21"/>
      <c r="AD37" s="21"/>
      <c r="AE37"/>
    </row>
    <row r="38" spans="1:31" ht="14.5" x14ac:dyDescent="0.3">
      <c r="A38" s="19">
        <f>A21+1</f>
        <v>203</v>
      </c>
      <c r="B38" s="21" t="s">
        <v>326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6"/>
      <c r="Q38" s="28" t="s">
        <v>87</v>
      </c>
      <c r="R38" s="85"/>
      <c r="S38" s="85"/>
      <c r="T38" s="85"/>
      <c r="U38" s="85"/>
      <c r="V38" s="85"/>
      <c r="W38" s="85"/>
      <c r="X38" s="85"/>
      <c r="Y38" s="85"/>
      <c r="Z38" s="39" t="s">
        <v>327</v>
      </c>
      <c r="AA38" s="39"/>
      <c r="AB38" s="95" t="s">
        <v>328</v>
      </c>
    </row>
    <row r="39" spans="1:31" x14ac:dyDescent="0.3">
      <c r="A39" s="19">
        <v>204</v>
      </c>
      <c r="B39" s="21" t="s">
        <v>329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88"/>
      <c r="P39" s="93" t="s">
        <v>330</v>
      </c>
      <c r="R39" s="28"/>
      <c r="S39" s="21"/>
      <c r="T39" s="21"/>
      <c r="U39" s="93" t="s">
        <v>331</v>
      </c>
      <c r="V39" s="21"/>
      <c r="W39" s="21"/>
      <c r="X39" s="21"/>
      <c r="Y39" s="21"/>
      <c r="Z39" s="21"/>
      <c r="AA39" s="39"/>
      <c r="AB39" s="39"/>
      <c r="AC39" s="39"/>
    </row>
    <row r="40" spans="1:31" x14ac:dyDescent="0.3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93" t="s">
        <v>332</v>
      </c>
      <c r="Q40" s="93"/>
      <c r="R40" s="93"/>
      <c r="S40" s="93"/>
      <c r="T40" s="93"/>
      <c r="U40" s="93" t="s">
        <v>333</v>
      </c>
      <c r="V40" s="93"/>
      <c r="W40" s="93"/>
      <c r="X40" s="93"/>
      <c r="Y40" s="93" t="s">
        <v>334</v>
      </c>
      <c r="Z40" s="21"/>
      <c r="AA40" s="39"/>
      <c r="AB40" s="39"/>
      <c r="AC40" s="39"/>
    </row>
    <row r="41" spans="1:31" ht="14.5" x14ac:dyDescent="0.3">
      <c r="A41" s="19">
        <v>205</v>
      </c>
      <c r="B41" s="21" t="s">
        <v>335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6"/>
      <c r="Q41" s="28"/>
      <c r="R41" s="21"/>
      <c r="S41" s="21"/>
      <c r="T41" s="21"/>
      <c r="U41" s="21"/>
      <c r="V41" s="21"/>
      <c r="W41" s="84"/>
      <c r="X41" s="22"/>
      <c r="Y41" s="22"/>
      <c r="Z41" s="39" t="s">
        <v>336</v>
      </c>
      <c r="AB41" s="39"/>
      <c r="AC41" s="39"/>
    </row>
    <row r="42" spans="1:31" ht="14.5" x14ac:dyDescent="0.3">
      <c r="A42" s="19">
        <f>A41+1</f>
        <v>206</v>
      </c>
      <c r="B42" s="21" t="s">
        <v>337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6"/>
      <c r="Q42" s="28"/>
      <c r="R42" s="21"/>
      <c r="S42" s="21"/>
      <c r="T42" s="21"/>
      <c r="U42" s="21"/>
      <c r="V42" s="21"/>
      <c r="W42" s="84"/>
      <c r="X42" s="23"/>
      <c r="Y42" s="23"/>
      <c r="Z42" s="39" t="s">
        <v>338</v>
      </c>
      <c r="AB42" s="39"/>
      <c r="AC42" s="39"/>
    </row>
    <row r="43" spans="1:31" ht="14.5" x14ac:dyDescent="0.3">
      <c r="A43" s="19">
        <f>A42+1</f>
        <v>207</v>
      </c>
      <c r="B43" s="21" t="s">
        <v>339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6"/>
      <c r="Q43" s="28" t="s">
        <v>87</v>
      </c>
      <c r="R43" s="85"/>
      <c r="S43" s="85"/>
      <c r="T43" s="85"/>
      <c r="U43" s="85"/>
      <c r="V43" s="85"/>
      <c r="W43" s="85"/>
      <c r="X43" s="85"/>
      <c r="Y43" s="85"/>
      <c r="Z43" s="39" t="s">
        <v>340</v>
      </c>
      <c r="AB43" s="39"/>
      <c r="AC43" s="21"/>
    </row>
    <row r="44" spans="1:31" ht="14.5" x14ac:dyDescent="0.3">
      <c r="A44" s="19">
        <f>A43+1</f>
        <v>208</v>
      </c>
      <c r="B44" s="21" t="s">
        <v>341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6"/>
      <c r="Q44" s="28"/>
      <c r="R44" s="88"/>
      <c r="S44" s="39"/>
      <c r="T44" s="39" t="s">
        <v>178</v>
      </c>
      <c r="U44" s="39"/>
      <c r="V44" s="39" t="s">
        <v>65</v>
      </c>
      <c r="W44" s="21"/>
      <c r="X44" s="21"/>
      <c r="Y44" s="21"/>
      <c r="Z44" s="21"/>
      <c r="AB44" s="39"/>
      <c r="AC44" s="21"/>
    </row>
    <row r="45" spans="1:31" ht="14.5" x14ac:dyDescent="0.3">
      <c r="A45" s="19">
        <f>A44+1</f>
        <v>209</v>
      </c>
      <c r="B45" s="21" t="s">
        <v>342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6"/>
      <c r="Q45" s="28"/>
      <c r="R45" s="88"/>
      <c r="S45" s="39"/>
      <c r="T45" s="39" t="s">
        <v>178</v>
      </c>
      <c r="U45" s="39"/>
      <c r="V45" s="39" t="s">
        <v>65</v>
      </c>
      <c r="W45" s="28"/>
      <c r="X45" s="21"/>
      <c r="Y45" s="21"/>
      <c r="Z45" s="21"/>
      <c r="AB45" s="39"/>
      <c r="AC45" s="21"/>
    </row>
    <row r="46" spans="1:31" ht="7.9" customHeight="1" x14ac:dyDescent="0.3">
      <c r="C46" s="21"/>
      <c r="D46" s="21"/>
      <c r="E46" s="21"/>
      <c r="F46" s="21"/>
      <c r="G46" s="21"/>
      <c r="H46" s="21"/>
      <c r="I46" s="21"/>
      <c r="J46" s="21"/>
      <c r="K46" s="21"/>
      <c r="L46" s="29"/>
      <c r="M46" s="28"/>
      <c r="N46" s="39"/>
      <c r="O46" s="39"/>
      <c r="P46" s="39"/>
      <c r="Q46" s="43"/>
      <c r="R46" s="28"/>
      <c r="S46" s="39"/>
      <c r="T46" s="39"/>
      <c r="U46" s="39"/>
      <c r="V46" s="43"/>
      <c r="W46" s="28"/>
      <c r="X46" s="28"/>
      <c r="Y46" s="21"/>
      <c r="Z46" s="21"/>
      <c r="AA46" s="21"/>
      <c r="AB46" s="39"/>
      <c r="AC46" s="21"/>
    </row>
    <row r="47" spans="1:31" ht="13.9" customHeight="1" x14ac:dyDescent="0.3">
      <c r="A47" s="131" t="s">
        <v>351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</row>
    <row r="48" spans="1:31" s="21" customFormat="1" x14ac:dyDescent="0.35">
      <c r="A48" s="19">
        <v>301</v>
      </c>
      <c r="B48" s="21" t="s">
        <v>352</v>
      </c>
      <c r="P48" s="102"/>
      <c r="Q48" s="93"/>
      <c r="X48" s="93"/>
      <c r="AB48" s="19"/>
    </row>
    <row r="49" spans="1:31" s="21" customFormat="1" x14ac:dyDescent="0.35">
      <c r="A49" s="19"/>
      <c r="B49" s="22"/>
      <c r="C49" s="38" t="s">
        <v>353</v>
      </c>
      <c r="D49" s="21" t="s">
        <v>354</v>
      </c>
      <c r="P49" s="103"/>
      <c r="Q49" s="93"/>
      <c r="X49" s="93"/>
      <c r="AB49" s="19"/>
    </row>
    <row r="50" spans="1:31" s="21" customFormat="1" x14ac:dyDescent="0.35">
      <c r="A50" s="19"/>
      <c r="B50" s="22"/>
      <c r="C50" s="38" t="s">
        <v>163</v>
      </c>
      <c r="D50" s="21" t="s">
        <v>355</v>
      </c>
      <c r="P50" s="103"/>
      <c r="Q50" s="93"/>
      <c r="X50" s="93"/>
      <c r="AB50" s="19"/>
    </row>
    <row r="51" spans="1:31" s="21" customFormat="1" x14ac:dyDescent="0.35">
      <c r="A51" s="19"/>
      <c r="B51" s="22"/>
      <c r="C51" s="38" t="s">
        <v>165</v>
      </c>
      <c r="D51" s="21" t="s">
        <v>356</v>
      </c>
      <c r="P51" s="103"/>
      <c r="Q51" s="93"/>
      <c r="X51" s="93"/>
      <c r="AB51" s="19"/>
    </row>
    <row r="52" spans="1:31" ht="14.5" x14ac:dyDescent="0.35">
      <c r="A52" s="19">
        <f>A48+1</f>
        <v>302</v>
      </c>
      <c r="B52" s="21" t="s">
        <v>357</v>
      </c>
      <c r="C52" s="21"/>
      <c r="D52" s="21"/>
      <c r="E52" s="21"/>
      <c r="F52" s="21"/>
      <c r="G52" s="21"/>
      <c r="H52" s="21"/>
      <c r="I52" s="21"/>
      <c r="J52" s="21"/>
      <c r="K52" s="21"/>
      <c r="O52" s="101"/>
      <c r="P52" s="101"/>
      <c r="Q52" s="94"/>
      <c r="R52" s="21"/>
      <c r="S52" s="39"/>
      <c r="T52" s="21"/>
      <c r="W52" s="39"/>
      <c r="X52" s="21"/>
      <c r="Y52" s="21"/>
      <c r="Z52" s="39"/>
      <c r="AA52" s="28"/>
      <c r="AB52" s="39"/>
      <c r="AC52" s="21"/>
      <c r="AD52" s="21"/>
      <c r="AE52"/>
    </row>
    <row r="53" spans="1:31" ht="14.5" x14ac:dyDescent="0.35">
      <c r="B53" s="22"/>
      <c r="C53" s="38" t="s">
        <v>353</v>
      </c>
      <c r="D53" s="21" t="s">
        <v>358</v>
      </c>
      <c r="E53" s="21"/>
      <c r="F53" s="21"/>
      <c r="G53" s="21"/>
      <c r="H53" s="21"/>
      <c r="I53" s="21"/>
      <c r="J53" s="21"/>
      <c r="K53" s="21"/>
      <c r="O53" s="21"/>
      <c r="P53" s="21"/>
      <c r="Q53" s="94"/>
      <c r="R53" s="21"/>
      <c r="S53" s="39"/>
      <c r="T53" s="21"/>
      <c r="W53" s="39"/>
      <c r="X53" s="21"/>
      <c r="Y53" s="21"/>
      <c r="Z53" s="39"/>
      <c r="AA53" s="28"/>
      <c r="AB53" s="39"/>
      <c r="AC53" s="21"/>
      <c r="AD53" s="21"/>
      <c r="AE53"/>
    </row>
    <row r="54" spans="1:31" ht="14.5" x14ac:dyDescent="0.35">
      <c r="B54" s="22"/>
      <c r="C54" s="38" t="s">
        <v>163</v>
      </c>
      <c r="D54" s="21" t="s">
        <v>359</v>
      </c>
      <c r="E54" s="21"/>
      <c r="F54" s="21"/>
      <c r="G54" s="21"/>
      <c r="H54" s="21"/>
      <c r="I54" s="21"/>
      <c r="J54" s="21"/>
      <c r="K54" s="21"/>
      <c r="O54" s="21"/>
      <c r="P54" s="21"/>
      <c r="Q54" s="94"/>
      <c r="R54" s="21"/>
      <c r="S54" s="39"/>
      <c r="T54" s="21"/>
      <c r="W54" s="39"/>
      <c r="X54" s="21"/>
      <c r="Y54" s="21"/>
      <c r="Z54" s="39"/>
      <c r="AA54" s="28"/>
      <c r="AB54" s="39"/>
      <c r="AC54" s="21"/>
      <c r="AD54" s="21"/>
      <c r="AE54"/>
    </row>
    <row r="55" spans="1:31" ht="14.5" x14ac:dyDescent="0.35">
      <c r="A55" s="19">
        <f>A52+1</f>
        <v>303</v>
      </c>
      <c r="B55" s="15" t="s">
        <v>360</v>
      </c>
      <c r="D55" s="21"/>
      <c r="E55" s="21"/>
      <c r="F55" s="21"/>
      <c r="G55" s="21"/>
      <c r="H55" s="21"/>
      <c r="I55" s="21"/>
      <c r="J55" s="21"/>
      <c r="K55" s="21"/>
      <c r="O55" s="21"/>
      <c r="P55" s="21"/>
      <c r="Q55" s="94"/>
      <c r="R55" s="21"/>
      <c r="S55" s="39"/>
      <c r="T55" s="21"/>
      <c r="W55" s="39"/>
      <c r="X55" s="21"/>
      <c r="Y55" s="21"/>
      <c r="Z55" s="39"/>
      <c r="AA55" s="28"/>
      <c r="AB55" s="39"/>
      <c r="AC55" s="21"/>
      <c r="AD55" s="21"/>
      <c r="AE55"/>
    </row>
    <row r="56" spans="1:31" ht="14.5" x14ac:dyDescent="0.35">
      <c r="B56" s="22"/>
      <c r="C56" s="38" t="s">
        <v>353</v>
      </c>
      <c r="D56" s="15" t="s">
        <v>361</v>
      </c>
      <c r="E56" s="21"/>
      <c r="F56" s="21"/>
      <c r="G56" s="21"/>
      <c r="H56" s="21"/>
      <c r="I56" s="21"/>
      <c r="J56" s="21"/>
      <c r="K56" s="21"/>
      <c r="O56" s="21"/>
      <c r="P56" s="21"/>
      <c r="Q56" s="94"/>
      <c r="R56" s="21"/>
      <c r="S56" s="39"/>
      <c r="T56" s="21"/>
      <c r="W56" s="39"/>
      <c r="X56" s="21"/>
      <c r="Y56" s="21"/>
      <c r="Z56" s="39"/>
      <c r="AA56" s="28"/>
      <c r="AB56" s="39"/>
      <c r="AC56" s="21"/>
      <c r="AD56" s="21"/>
      <c r="AE56"/>
    </row>
    <row r="57" spans="1:31" ht="14.5" x14ac:dyDescent="0.35">
      <c r="B57" s="22"/>
      <c r="C57" s="38" t="s">
        <v>163</v>
      </c>
      <c r="D57" s="21" t="s">
        <v>362</v>
      </c>
      <c r="E57" s="21"/>
      <c r="F57" s="21"/>
      <c r="G57" s="21"/>
      <c r="H57" s="21"/>
      <c r="I57" s="21"/>
      <c r="J57" s="21"/>
      <c r="K57" s="21"/>
      <c r="O57" s="21"/>
      <c r="P57" s="21"/>
      <c r="Q57" s="94"/>
      <c r="R57" s="21"/>
      <c r="S57" s="39"/>
      <c r="T57" s="21"/>
      <c r="W57" s="39"/>
      <c r="X57" s="21"/>
      <c r="Y57" s="21"/>
      <c r="Z57" s="39"/>
      <c r="AA57" s="28"/>
      <c r="AB57" s="39"/>
      <c r="AC57" s="21"/>
      <c r="AD57" s="21"/>
      <c r="AE57"/>
    </row>
    <row r="58" spans="1:31" ht="14.5" x14ac:dyDescent="0.35">
      <c r="B58" s="22"/>
      <c r="C58" s="38" t="s">
        <v>165</v>
      </c>
      <c r="D58" s="21" t="s">
        <v>363</v>
      </c>
      <c r="E58" s="21"/>
      <c r="F58" s="21"/>
      <c r="G58" s="21"/>
      <c r="H58" s="21"/>
      <c r="I58" s="21"/>
      <c r="J58" s="21"/>
      <c r="K58" s="21"/>
      <c r="O58" s="21"/>
      <c r="P58" s="21"/>
      <c r="Q58" s="94"/>
      <c r="R58" s="21"/>
      <c r="S58" s="39"/>
      <c r="T58" s="21"/>
      <c r="W58" s="39"/>
      <c r="X58" s="21"/>
      <c r="Y58" s="21"/>
      <c r="Z58" s="39"/>
      <c r="AA58" s="28"/>
      <c r="AB58" s="39"/>
      <c r="AC58" s="21"/>
      <c r="AD58" s="21"/>
      <c r="AE58"/>
    </row>
    <row r="59" spans="1:31" ht="14.5" x14ac:dyDescent="0.35">
      <c r="A59" s="19">
        <f>A55+1</f>
        <v>304</v>
      </c>
      <c r="B59" s="21" t="s">
        <v>364</v>
      </c>
      <c r="C59" s="21"/>
      <c r="D59" s="21"/>
      <c r="E59" s="21"/>
      <c r="F59" s="21"/>
      <c r="G59" s="21"/>
      <c r="H59" s="21"/>
      <c r="I59" s="21"/>
      <c r="J59" s="21"/>
      <c r="K59" s="21"/>
      <c r="O59" s="21"/>
      <c r="P59" s="21"/>
      <c r="Q59" s="94"/>
      <c r="R59" s="21"/>
      <c r="S59" s="39"/>
      <c r="T59" s="21"/>
      <c r="W59" s="39"/>
      <c r="X59" s="21"/>
      <c r="Y59" s="21"/>
      <c r="Z59" s="39"/>
      <c r="AA59" s="28"/>
      <c r="AB59" s="39"/>
      <c r="AC59" s="21"/>
      <c r="AD59" s="21"/>
      <c r="AE59"/>
    </row>
    <row r="60" spans="1:31" ht="14.5" x14ac:dyDescent="0.35">
      <c r="B60" s="26" t="s">
        <v>365</v>
      </c>
      <c r="C60" s="21"/>
      <c r="D60" s="21"/>
      <c r="E60" s="21"/>
      <c r="F60" s="21"/>
      <c r="G60" s="21"/>
      <c r="H60" s="21"/>
      <c r="I60" s="21"/>
      <c r="J60" s="21"/>
      <c r="K60" s="21"/>
      <c r="O60" s="21"/>
      <c r="P60" s="21"/>
      <c r="Q60" s="94"/>
      <c r="R60" s="21"/>
      <c r="S60" s="39"/>
      <c r="T60" s="21"/>
      <c r="W60" s="39"/>
      <c r="X60" s="21"/>
      <c r="Y60" s="21"/>
      <c r="Z60" s="39"/>
      <c r="AA60" s="28"/>
      <c r="AB60" s="39"/>
      <c r="AC60" s="21"/>
      <c r="AD60" s="21"/>
      <c r="AE60"/>
    </row>
    <row r="61" spans="1:31" ht="14.5" x14ac:dyDescent="0.35">
      <c r="B61" s="22"/>
      <c r="C61" s="105">
        <v>1</v>
      </c>
      <c r="D61" s="21" t="s">
        <v>366</v>
      </c>
      <c r="E61" s="21"/>
      <c r="F61" s="21"/>
      <c r="G61" s="21"/>
      <c r="H61" s="21"/>
      <c r="I61" s="21"/>
      <c r="J61" s="21"/>
      <c r="K61" s="21"/>
      <c r="O61" s="21"/>
      <c r="P61" s="21"/>
      <c r="Q61" s="94"/>
      <c r="R61" s="21"/>
      <c r="S61" s="39"/>
      <c r="T61" s="21"/>
      <c r="W61" s="39"/>
      <c r="X61" s="21"/>
      <c r="Y61" s="21"/>
      <c r="Z61" s="39"/>
      <c r="AA61" s="28"/>
      <c r="AB61" s="39"/>
      <c r="AC61" s="21"/>
      <c r="AD61" s="21"/>
      <c r="AE61"/>
    </row>
    <row r="62" spans="1:31" ht="14.5" x14ac:dyDescent="0.35">
      <c r="B62" s="22"/>
      <c r="C62" s="105">
        <v>2</v>
      </c>
      <c r="D62" s="103" t="s">
        <v>367</v>
      </c>
      <c r="E62" s="101"/>
      <c r="F62" s="104"/>
      <c r="G62" s="21"/>
      <c r="H62" s="21"/>
      <c r="I62" s="21"/>
      <c r="J62" s="21"/>
      <c r="K62" s="21"/>
      <c r="O62" s="21"/>
      <c r="P62" s="21"/>
      <c r="Q62" s="94"/>
      <c r="R62" s="21"/>
      <c r="S62" s="39"/>
      <c r="T62" s="21"/>
      <c r="W62" s="39"/>
      <c r="X62" s="21"/>
      <c r="Y62" s="21"/>
      <c r="Z62" s="39"/>
      <c r="AA62" s="28"/>
      <c r="AB62" s="39"/>
      <c r="AC62" s="21"/>
      <c r="AD62" s="21"/>
      <c r="AE62"/>
    </row>
    <row r="63" spans="1:31" ht="14.5" x14ac:dyDescent="0.35">
      <c r="B63" s="22"/>
      <c r="C63" s="105">
        <v>3</v>
      </c>
      <c r="D63" s="21" t="s">
        <v>368</v>
      </c>
      <c r="E63" s="21"/>
      <c r="F63" s="21"/>
      <c r="G63" s="21"/>
      <c r="H63" s="21"/>
      <c r="I63" s="21"/>
      <c r="J63" s="21"/>
      <c r="K63" s="21"/>
      <c r="O63" s="21"/>
      <c r="P63" s="21"/>
      <c r="Q63" s="94"/>
      <c r="R63" s="21"/>
      <c r="S63" s="39"/>
      <c r="T63" s="21"/>
      <c r="W63" s="39"/>
      <c r="X63" s="21"/>
      <c r="Y63" s="21"/>
      <c r="Z63" s="39"/>
      <c r="AA63" s="28"/>
      <c r="AB63" s="39"/>
      <c r="AC63" s="21"/>
      <c r="AD63" s="21"/>
      <c r="AE63"/>
    </row>
    <row r="64" spans="1:31" ht="14.5" x14ac:dyDescent="0.35">
      <c r="B64" s="22"/>
      <c r="C64" s="105">
        <v>4</v>
      </c>
      <c r="D64" s="21" t="s">
        <v>369</v>
      </c>
      <c r="E64" s="21"/>
      <c r="F64" s="21"/>
      <c r="G64" s="21"/>
      <c r="H64" s="21"/>
      <c r="I64" s="21"/>
      <c r="J64" s="21"/>
      <c r="K64" s="21"/>
      <c r="O64" s="21"/>
      <c r="P64" s="21"/>
      <c r="Q64" s="94"/>
      <c r="R64" s="21"/>
      <c r="S64" s="39"/>
      <c r="T64" s="21"/>
      <c r="W64" s="39"/>
      <c r="X64" s="21"/>
      <c r="Y64" s="21"/>
      <c r="Z64" s="39"/>
      <c r="AA64" s="28"/>
      <c r="AB64" s="39"/>
      <c r="AC64" s="21"/>
      <c r="AD64" s="21"/>
      <c r="AE64"/>
    </row>
    <row r="65" spans="1:31" ht="14.5" x14ac:dyDescent="0.35">
      <c r="B65" s="22"/>
      <c r="C65" s="105">
        <v>5</v>
      </c>
      <c r="D65" s="21" t="s">
        <v>370</v>
      </c>
      <c r="E65" s="21"/>
      <c r="F65" s="21"/>
      <c r="G65" s="21"/>
      <c r="H65" s="21"/>
      <c r="I65" s="21"/>
      <c r="J65" s="21"/>
      <c r="K65" s="21"/>
      <c r="O65" s="21"/>
      <c r="P65" s="21"/>
      <c r="Q65" s="94"/>
      <c r="R65" s="21"/>
      <c r="S65" s="39"/>
      <c r="T65" s="21"/>
      <c r="W65" s="39"/>
      <c r="X65" s="21"/>
      <c r="Y65" s="21"/>
      <c r="Z65" s="39"/>
      <c r="AA65" s="28"/>
      <c r="AB65" s="39"/>
      <c r="AC65" s="21"/>
      <c r="AD65" s="21"/>
      <c r="AE65"/>
    </row>
    <row r="66" spans="1:31" ht="14.5" x14ac:dyDescent="0.35">
      <c r="B66" s="22"/>
      <c r="C66" s="105">
        <v>6</v>
      </c>
      <c r="D66" s="21" t="s">
        <v>371</v>
      </c>
      <c r="E66" s="21"/>
      <c r="F66" s="21"/>
      <c r="G66" s="21"/>
      <c r="H66" s="21"/>
      <c r="I66" s="21"/>
      <c r="J66" s="21"/>
      <c r="K66" s="21"/>
      <c r="O66" s="21"/>
      <c r="P66" s="21"/>
      <c r="Q66" s="94"/>
      <c r="R66" s="21"/>
      <c r="S66" s="39"/>
      <c r="T66" s="21"/>
      <c r="W66" s="39"/>
      <c r="X66" s="21"/>
      <c r="Y66" s="21"/>
      <c r="Z66" s="39"/>
      <c r="AA66" s="28"/>
      <c r="AB66" s="39"/>
      <c r="AC66" s="21"/>
      <c r="AD66" s="21"/>
      <c r="AE66"/>
    </row>
    <row r="67" spans="1:31" ht="14.5" x14ac:dyDescent="0.35">
      <c r="B67" s="22"/>
      <c r="C67" s="105">
        <v>7</v>
      </c>
      <c r="D67" s="21" t="s">
        <v>372</v>
      </c>
      <c r="E67" s="21"/>
      <c r="F67" s="21"/>
      <c r="G67" s="21"/>
      <c r="H67" s="21"/>
      <c r="I67" s="21"/>
      <c r="J67" s="21"/>
      <c r="K67" s="21"/>
      <c r="O67" s="21"/>
      <c r="P67" s="21"/>
      <c r="Q67" s="94"/>
      <c r="R67" s="21"/>
      <c r="S67" s="39"/>
      <c r="T67" s="21"/>
      <c r="W67" s="39"/>
      <c r="X67" s="21"/>
      <c r="Y67" s="21"/>
      <c r="Z67" s="39"/>
      <c r="AA67" s="28"/>
      <c r="AB67" s="39"/>
      <c r="AC67" s="21"/>
      <c r="AD67" s="21"/>
      <c r="AE67"/>
    </row>
    <row r="68" spans="1:31" ht="14.5" x14ac:dyDescent="0.35">
      <c r="A68" s="19">
        <f>A59+1</f>
        <v>305</v>
      </c>
      <c r="B68" s="21" t="s">
        <v>376</v>
      </c>
      <c r="C68" s="21"/>
      <c r="D68" s="21"/>
      <c r="E68" s="21"/>
      <c r="F68" s="21"/>
      <c r="G68" s="21"/>
      <c r="H68" s="21"/>
      <c r="I68" s="21"/>
      <c r="J68" s="21"/>
      <c r="K68" s="21"/>
      <c r="N68" s="106"/>
      <c r="O68" s="101"/>
      <c r="P68" s="101"/>
      <c r="Q68" s="107"/>
      <c r="R68" s="101"/>
      <c r="S68" s="108"/>
      <c r="T68" s="101"/>
      <c r="U68" s="106"/>
      <c r="V68" s="106"/>
      <c r="W68" s="108"/>
      <c r="X68" s="101"/>
      <c r="Y68" s="101"/>
      <c r="Z68" s="108"/>
      <c r="AA68" s="109"/>
      <c r="AB68" s="39"/>
      <c r="AC68" s="21"/>
      <c r="AD68" s="21"/>
      <c r="AE68"/>
    </row>
    <row r="69" spans="1:31" ht="14.5" x14ac:dyDescent="0.3">
      <c r="B69" s="21" t="s">
        <v>373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106"/>
      <c r="O69" s="101"/>
      <c r="P69" s="110"/>
      <c r="Q69" s="109"/>
      <c r="R69" s="101"/>
      <c r="S69" s="101"/>
      <c r="T69" s="101"/>
      <c r="U69" s="101"/>
      <c r="V69" s="101"/>
      <c r="W69" s="101"/>
      <c r="X69" s="101"/>
      <c r="Y69" s="101"/>
      <c r="Z69" s="108"/>
      <c r="AA69" s="108"/>
      <c r="AB69" s="95"/>
    </row>
    <row r="70" spans="1:31" ht="14.5" x14ac:dyDescent="0.35">
      <c r="B70" s="113" t="s">
        <v>375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101"/>
      <c r="O70" s="108"/>
      <c r="P70" s="111"/>
      <c r="Q70" s="106"/>
      <c r="R70" s="109"/>
      <c r="S70" s="101"/>
      <c r="T70" s="101"/>
      <c r="U70" s="111"/>
      <c r="V70" s="101"/>
      <c r="W70" s="101"/>
      <c r="X70" s="101"/>
      <c r="Y70" s="101"/>
      <c r="Z70" s="101"/>
      <c r="AA70" s="108"/>
      <c r="AB70" s="39"/>
      <c r="AC70" s="39"/>
    </row>
    <row r="71" spans="1:31" ht="14.5" x14ac:dyDescent="0.35">
      <c r="B71" s="114" t="s">
        <v>374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01"/>
      <c r="O71" s="10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01"/>
      <c r="AA71" s="108"/>
      <c r="AB71" s="39"/>
      <c r="AC71" s="39"/>
    </row>
    <row r="72" spans="1:31" x14ac:dyDescent="0.3">
      <c r="A72" s="19">
        <f>A68+1</f>
        <v>306</v>
      </c>
      <c r="B72" s="115" t="s">
        <v>400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101"/>
      <c r="O72" s="10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01"/>
      <c r="AA72" s="108"/>
      <c r="AB72" s="39"/>
      <c r="AC72" s="39"/>
    </row>
    <row r="73" spans="1:31" ht="14.5" x14ac:dyDescent="0.35">
      <c r="B73" s="113" t="s">
        <v>365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101"/>
      <c r="O73" s="10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01"/>
      <c r="AA73" s="108"/>
      <c r="AB73" s="39"/>
      <c r="AC73" s="39"/>
    </row>
    <row r="74" spans="1:31" x14ac:dyDescent="0.3">
      <c r="B74" s="22"/>
      <c r="C74" s="38" t="s">
        <v>353</v>
      </c>
      <c r="D74" s="21" t="s">
        <v>391</v>
      </c>
      <c r="E74" s="21"/>
      <c r="F74" s="21"/>
      <c r="G74" s="21"/>
      <c r="H74" s="21"/>
      <c r="I74" s="21"/>
      <c r="J74" s="21"/>
      <c r="K74" s="21"/>
      <c r="L74" s="21"/>
      <c r="M74" s="21"/>
      <c r="N74" s="101"/>
      <c r="O74" s="10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01"/>
      <c r="AA74" s="108"/>
      <c r="AB74" s="39"/>
      <c r="AC74" s="39"/>
    </row>
    <row r="75" spans="1:31" ht="14.5" x14ac:dyDescent="0.3">
      <c r="B75" s="22"/>
      <c r="C75" s="38" t="s">
        <v>163</v>
      </c>
      <c r="D75" s="21" t="s">
        <v>392</v>
      </c>
      <c r="E75" s="21"/>
      <c r="F75" s="21"/>
      <c r="G75" s="21"/>
      <c r="H75" s="21"/>
      <c r="I75" s="21"/>
      <c r="J75" s="21"/>
      <c r="K75" s="21"/>
      <c r="L75" s="21"/>
      <c r="M75" s="21"/>
      <c r="N75" s="101"/>
      <c r="O75" s="10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01"/>
      <c r="AA75" s="108"/>
      <c r="AB75" s="39"/>
      <c r="AC75" s="39"/>
    </row>
    <row r="76" spans="1:31" x14ac:dyDescent="0.3">
      <c r="B76" s="22"/>
      <c r="C76" s="38" t="s">
        <v>165</v>
      </c>
      <c r="D76" s="21" t="s">
        <v>388</v>
      </c>
      <c r="E76" s="21"/>
      <c r="F76" s="21"/>
      <c r="G76" s="21"/>
      <c r="H76" s="21"/>
      <c r="I76" s="21"/>
      <c r="J76" s="21"/>
      <c r="K76" s="21"/>
      <c r="L76" s="21"/>
      <c r="M76" s="21"/>
      <c r="N76" s="101"/>
      <c r="O76" s="10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01"/>
      <c r="AA76" s="108"/>
      <c r="AB76" s="39"/>
      <c r="AC76" s="39"/>
    </row>
    <row r="77" spans="1:31" x14ac:dyDescent="0.3">
      <c r="B77" s="22"/>
      <c r="C77" s="38" t="s">
        <v>386</v>
      </c>
      <c r="D77" s="21" t="s">
        <v>401</v>
      </c>
      <c r="E77" s="21"/>
      <c r="F77" s="21"/>
      <c r="G77" s="21"/>
      <c r="H77" s="21"/>
      <c r="I77" s="21"/>
      <c r="J77" s="21"/>
      <c r="K77" s="21"/>
      <c r="L77" s="21"/>
      <c r="M77" s="21"/>
      <c r="N77" s="101"/>
      <c r="O77" s="10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01"/>
      <c r="AA77" s="108"/>
      <c r="AB77" s="39"/>
      <c r="AC77" s="39"/>
    </row>
    <row r="78" spans="1:31" x14ac:dyDescent="0.3">
      <c r="B78" s="22"/>
      <c r="C78" s="38" t="s">
        <v>387</v>
      </c>
      <c r="D78" s="15" t="s">
        <v>393</v>
      </c>
      <c r="E78" s="21"/>
      <c r="F78" s="21"/>
      <c r="G78" s="21"/>
      <c r="H78" s="21"/>
      <c r="I78" s="21"/>
      <c r="J78" s="21"/>
      <c r="K78" s="21"/>
      <c r="L78" s="21"/>
      <c r="M78" s="21"/>
      <c r="N78" s="101"/>
      <c r="O78" s="10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01"/>
      <c r="AA78" s="108"/>
      <c r="AB78" s="39"/>
      <c r="AC78" s="39"/>
    </row>
    <row r="79" spans="1:31" x14ac:dyDescent="0.3">
      <c r="B79" s="22"/>
      <c r="C79" s="38" t="s">
        <v>390</v>
      </c>
      <c r="D79" s="21" t="s">
        <v>396</v>
      </c>
      <c r="E79" s="21"/>
      <c r="F79" s="21"/>
      <c r="G79" s="21"/>
      <c r="H79" s="21"/>
      <c r="I79" s="21"/>
      <c r="J79" s="21"/>
      <c r="K79" s="21"/>
      <c r="L79" s="21"/>
      <c r="M79" s="21"/>
      <c r="N79" s="101"/>
      <c r="O79" s="10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01"/>
      <c r="AA79" s="108"/>
      <c r="AB79" s="39"/>
      <c r="AC79" s="39"/>
    </row>
    <row r="80" spans="1:31" x14ac:dyDescent="0.3">
      <c r="B80" s="22"/>
      <c r="C80" s="38" t="s">
        <v>394</v>
      </c>
      <c r="D80" s="21" t="s">
        <v>398</v>
      </c>
      <c r="E80" s="21"/>
      <c r="F80" s="21"/>
      <c r="G80" s="21"/>
      <c r="H80" s="21"/>
      <c r="I80" s="21"/>
      <c r="J80" s="21"/>
      <c r="K80" s="21"/>
      <c r="L80" s="21"/>
      <c r="M80" s="21"/>
      <c r="N80" s="101"/>
      <c r="O80" s="10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01"/>
      <c r="AA80" s="108"/>
      <c r="AB80" s="39"/>
      <c r="AC80" s="39"/>
    </row>
    <row r="81" spans="1:29" x14ac:dyDescent="0.3">
      <c r="B81" s="22"/>
      <c r="C81" s="38" t="s">
        <v>395</v>
      </c>
      <c r="D81" s="21" t="s">
        <v>399</v>
      </c>
      <c r="E81" s="21"/>
      <c r="F81" s="21"/>
      <c r="G81" s="21"/>
      <c r="H81" s="21"/>
      <c r="I81" s="21"/>
      <c r="J81" s="21"/>
      <c r="K81" s="21"/>
      <c r="L81" s="21"/>
      <c r="M81" s="21"/>
      <c r="N81" s="101"/>
      <c r="O81" s="10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01"/>
      <c r="AA81" s="108"/>
      <c r="AB81" s="39"/>
      <c r="AC81" s="39"/>
    </row>
    <row r="82" spans="1:29" x14ac:dyDescent="0.3">
      <c r="B82" s="22"/>
      <c r="C82" s="38" t="s">
        <v>397</v>
      </c>
      <c r="D82" s="21" t="s">
        <v>389</v>
      </c>
      <c r="E82" s="21"/>
      <c r="F82" s="21"/>
      <c r="G82" s="21"/>
      <c r="H82" s="21"/>
      <c r="I82" s="21"/>
      <c r="J82" s="21"/>
      <c r="K82" s="21"/>
      <c r="L82" s="21"/>
      <c r="M82" s="21"/>
      <c r="N82" s="101"/>
      <c r="O82" s="10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01"/>
      <c r="AA82" s="108"/>
      <c r="AB82" s="39"/>
      <c r="AC82" s="39"/>
    </row>
    <row r="83" spans="1:29" ht="14.5" x14ac:dyDescent="0.3">
      <c r="A83" s="19">
        <f>A72+1</f>
        <v>307</v>
      </c>
      <c r="B83" s="21" t="s">
        <v>377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101"/>
      <c r="O83" s="101"/>
      <c r="P83" s="110"/>
      <c r="Q83" s="109"/>
      <c r="R83" s="101"/>
      <c r="S83" s="101"/>
      <c r="T83" s="101"/>
      <c r="U83" s="101"/>
      <c r="V83" s="101"/>
      <c r="W83" s="112"/>
      <c r="X83" s="101"/>
      <c r="Y83" s="101"/>
      <c r="Z83" s="108"/>
      <c r="AA83" s="106"/>
      <c r="AB83" s="39"/>
      <c r="AC83" s="39"/>
    </row>
    <row r="84" spans="1:29" ht="14.5" x14ac:dyDescent="0.3">
      <c r="B84" s="21" t="s">
        <v>378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101"/>
      <c r="O84" s="101"/>
      <c r="P84" s="110"/>
      <c r="Q84" s="109"/>
      <c r="R84" s="101"/>
      <c r="S84" s="101"/>
      <c r="T84" s="101"/>
      <c r="U84" s="101"/>
      <c r="V84" s="101"/>
      <c r="W84" s="112"/>
      <c r="X84" s="101"/>
      <c r="Y84" s="101"/>
      <c r="Z84" s="108"/>
      <c r="AA84" s="106"/>
      <c r="AB84" s="39"/>
      <c r="AC84" s="39"/>
    </row>
    <row r="85" spans="1:29" ht="14.5" x14ac:dyDescent="0.35">
      <c r="B85" s="113" t="s">
        <v>375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101"/>
      <c r="O85" s="101"/>
      <c r="P85" s="110"/>
      <c r="Q85" s="109"/>
      <c r="R85" s="101"/>
      <c r="S85" s="101"/>
      <c r="T85" s="101"/>
      <c r="U85" s="101"/>
      <c r="V85" s="101"/>
      <c r="W85" s="101"/>
      <c r="X85" s="101"/>
      <c r="Y85" s="101"/>
      <c r="Z85" s="108"/>
      <c r="AA85" s="106"/>
      <c r="AB85" s="39"/>
      <c r="AC85" s="21"/>
    </row>
    <row r="86" spans="1:29" ht="14.5" x14ac:dyDescent="0.35">
      <c r="B86" s="114" t="s">
        <v>374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01"/>
      <c r="O86" s="101"/>
      <c r="P86" s="110"/>
      <c r="Q86" s="109"/>
      <c r="R86" s="101"/>
      <c r="S86" s="101"/>
      <c r="T86" s="101"/>
      <c r="U86" s="101"/>
      <c r="V86" s="101"/>
      <c r="W86" s="101"/>
      <c r="X86" s="101"/>
      <c r="Y86" s="101"/>
      <c r="Z86" s="108"/>
      <c r="AA86" s="106"/>
      <c r="AB86" s="39"/>
      <c r="AC86" s="21"/>
    </row>
    <row r="87" spans="1:29" ht="14.5" x14ac:dyDescent="0.3">
      <c r="A87" s="19">
        <f>A83+1</f>
        <v>308</v>
      </c>
      <c r="B87" s="21" t="s">
        <v>379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101"/>
      <c r="O87" s="101"/>
      <c r="P87" s="110"/>
      <c r="Q87" s="109"/>
      <c r="R87" s="108"/>
      <c r="S87" s="108"/>
      <c r="T87" s="108"/>
      <c r="U87" s="108"/>
      <c r="V87" s="108"/>
      <c r="W87" s="101"/>
      <c r="X87" s="101"/>
      <c r="Y87" s="101"/>
      <c r="Z87" s="101"/>
      <c r="AA87" s="106"/>
      <c r="AB87" s="39"/>
      <c r="AC87" s="21"/>
    </row>
    <row r="88" spans="1:29" ht="14.5" x14ac:dyDescent="0.3">
      <c r="B88" s="22"/>
      <c r="C88" s="38" t="s">
        <v>353</v>
      </c>
      <c r="D88" s="21" t="s">
        <v>402</v>
      </c>
      <c r="E88" s="21"/>
      <c r="F88" s="21"/>
      <c r="G88" s="21"/>
      <c r="H88" s="21"/>
      <c r="I88" s="21"/>
      <c r="J88" s="21"/>
      <c r="K88" s="21"/>
      <c r="L88" s="21"/>
      <c r="M88" s="21"/>
      <c r="N88" s="101"/>
      <c r="O88" s="101"/>
      <c r="P88" s="110"/>
      <c r="Q88" s="109"/>
      <c r="R88" s="108"/>
      <c r="S88" s="108"/>
      <c r="T88" s="108"/>
      <c r="U88" s="108"/>
      <c r="V88" s="108"/>
      <c r="W88" s="109"/>
      <c r="X88" s="101"/>
      <c r="Y88" s="101"/>
      <c r="Z88" s="101"/>
      <c r="AA88" s="106"/>
      <c r="AB88" s="39"/>
      <c r="AC88" s="21"/>
    </row>
    <row r="89" spans="1:29" ht="14.5" x14ac:dyDescent="0.3">
      <c r="B89" s="22"/>
      <c r="C89" s="38" t="s">
        <v>163</v>
      </c>
      <c r="D89" s="21" t="s">
        <v>380</v>
      </c>
      <c r="E89" s="21"/>
      <c r="F89" s="21"/>
      <c r="G89" s="21"/>
      <c r="H89" s="21"/>
      <c r="I89" s="21"/>
      <c r="J89" s="21"/>
      <c r="K89" s="21"/>
      <c r="L89" s="21"/>
      <c r="M89" s="21"/>
      <c r="N89" s="101"/>
      <c r="O89" s="101"/>
      <c r="P89" s="110"/>
      <c r="Q89" s="109"/>
      <c r="R89" s="101"/>
      <c r="S89" s="101"/>
      <c r="T89" s="101"/>
      <c r="U89" s="101"/>
      <c r="V89" s="101"/>
      <c r="W89" s="101"/>
      <c r="X89" s="101"/>
      <c r="Y89" s="101"/>
      <c r="Z89" s="108"/>
      <c r="AA89" s="106"/>
      <c r="AB89" s="39"/>
      <c r="AC89" s="21"/>
    </row>
    <row r="90" spans="1:29" ht="14.5" x14ac:dyDescent="0.3">
      <c r="B90" s="22"/>
      <c r="C90" s="38" t="s">
        <v>165</v>
      </c>
      <c r="D90" s="21" t="s">
        <v>403</v>
      </c>
      <c r="E90" s="21"/>
      <c r="F90" s="21"/>
      <c r="G90" s="21"/>
      <c r="H90" s="21"/>
      <c r="I90" s="21"/>
      <c r="J90" s="21"/>
      <c r="K90" s="21"/>
      <c r="L90" s="21"/>
      <c r="M90" s="21"/>
      <c r="N90" s="101"/>
      <c r="O90" s="101"/>
      <c r="P90" s="110"/>
      <c r="Q90" s="109"/>
      <c r="R90" s="101"/>
      <c r="S90" s="101"/>
      <c r="T90" s="101"/>
      <c r="U90" s="101"/>
      <c r="V90" s="101"/>
      <c r="W90" s="101"/>
      <c r="X90" s="101"/>
      <c r="Y90" s="101"/>
      <c r="Z90" s="108"/>
      <c r="AA90" s="106"/>
      <c r="AB90" s="39"/>
      <c r="AC90" s="21"/>
    </row>
    <row r="91" spans="1:29" ht="14.5" x14ac:dyDescent="0.3">
      <c r="B91" s="22"/>
      <c r="C91" s="38" t="s">
        <v>165</v>
      </c>
      <c r="D91" s="21" t="s">
        <v>404</v>
      </c>
      <c r="E91" s="21"/>
      <c r="F91" s="21"/>
      <c r="G91" s="21"/>
      <c r="H91" s="21"/>
      <c r="I91" s="21"/>
      <c r="J91" s="21"/>
      <c r="K91" s="21"/>
      <c r="L91" s="21"/>
      <c r="M91" s="21"/>
      <c r="N91" s="101"/>
      <c r="O91" s="101"/>
      <c r="P91" s="110"/>
      <c r="Q91" s="109"/>
      <c r="R91" s="101"/>
      <c r="S91" s="101"/>
      <c r="T91" s="101"/>
      <c r="U91" s="101"/>
      <c r="V91" s="101"/>
      <c r="W91" s="101"/>
      <c r="X91" s="101"/>
      <c r="Y91" s="101"/>
      <c r="Z91" s="108"/>
      <c r="AA91" s="106"/>
      <c r="AB91" s="39"/>
      <c r="AC91" s="21"/>
    </row>
    <row r="92" spans="1:29" ht="14.5" x14ac:dyDescent="0.3">
      <c r="A92" s="19">
        <f>A87+1</f>
        <v>309</v>
      </c>
      <c r="B92" s="21" t="s">
        <v>381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101"/>
      <c r="O92" s="101"/>
      <c r="P92" s="110"/>
      <c r="Q92" s="109"/>
      <c r="R92" s="101"/>
      <c r="S92" s="101"/>
      <c r="T92" s="101"/>
      <c r="U92" s="101"/>
      <c r="V92" s="101"/>
      <c r="W92" s="101"/>
      <c r="X92" s="101"/>
      <c r="Y92" s="101"/>
      <c r="Z92" s="108"/>
      <c r="AA92" s="106"/>
      <c r="AB92" s="39"/>
      <c r="AC92" s="21"/>
    </row>
    <row r="93" spans="1:29" ht="14.5" x14ac:dyDescent="0.3">
      <c r="B93" s="26" t="s">
        <v>365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101"/>
      <c r="O93" s="101"/>
      <c r="P93" s="110"/>
      <c r="Q93" s="109"/>
      <c r="R93" s="108"/>
      <c r="S93" s="108"/>
      <c r="T93" s="108"/>
      <c r="U93" s="108"/>
      <c r="V93" s="108"/>
      <c r="W93" s="101"/>
      <c r="X93" s="101"/>
      <c r="Y93" s="101"/>
      <c r="Z93" s="101"/>
      <c r="AA93" s="106"/>
      <c r="AB93" s="39"/>
      <c r="AC93" s="21"/>
    </row>
    <row r="94" spans="1:29" ht="14.5" x14ac:dyDescent="0.3">
      <c r="B94" s="22"/>
      <c r="C94" s="105">
        <v>1</v>
      </c>
      <c r="D94" s="21" t="s">
        <v>382</v>
      </c>
      <c r="E94" s="21"/>
      <c r="F94" s="21"/>
      <c r="G94" s="21"/>
      <c r="H94" s="21"/>
      <c r="I94" s="21"/>
      <c r="J94" s="21"/>
      <c r="K94" s="21"/>
      <c r="L94" s="21"/>
      <c r="M94" s="21"/>
      <c r="N94" s="101"/>
      <c r="O94" s="101"/>
      <c r="P94" s="110"/>
      <c r="Q94" s="109"/>
      <c r="R94" s="108"/>
      <c r="S94" s="108"/>
      <c r="T94" s="108"/>
      <c r="U94" s="108"/>
      <c r="V94" s="108"/>
      <c r="W94" s="109"/>
      <c r="X94" s="101"/>
      <c r="Y94" s="101"/>
      <c r="Z94" s="101"/>
      <c r="AA94" s="106"/>
      <c r="AB94" s="39"/>
      <c r="AC94" s="21"/>
    </row>
    <row r="95" spans="1:29" ht="14.5" x14ac:dyDescent="0.3">
      <c r="B95" s="22"/>
      <c r="C95" s="105">
        <v>2</v>
      </c>
      <c r="D95" s="21" t="s">
        <v>385</v>
      </c>
      <c r="E95" s="21"/>
      <c r="F95" s="21"/>
      <c r="G95" s="21"/>
      <c r="H95" s="21"/>
      <c r="I95" s="21"/>
      <c r="J95" s="21"/>
      <c r="K95" s="21"/>
      <c r="L95" s="21"/>
      <c r="M95" s="21"/>
      <c r="N95" s="101"/>
      <c r="O95" s="101"/>
      <c r="P95" s="110"/>
      <c r="Q95" s="109"/>
      <c r="R95" s="108"/>
      <c r="S95" s="108"/>
      <c r="T95" s="108"/>
      <c r="U95" s="108"/>
      <c r="V95" s="108"/>
      <c r="W95" s="109"/>
      <c r="X95" s="101"/>
      <c r="Y95" s="101"/>
      <c r="Z95" s="101"/>
      <c r="AA95" s="106"/>
      <c r="AB95" s="39"/>
      <c r="AC95" s="21"/>
    </row>
    <row r="96" spans="1:29" ht="14.5" x14ac:dyDescent="0.3">
      <c r="B96" s="22"/>
      <c r="C96" s="105">
        <v>3</v>
      </c>
      <c r="D96" s="21" t="s">
        <v>383</v>
      </c>
      <c r="E96" s="21"/>
      <c r="F96" s="21"/>
      <c r="G96" s="21"/>
      <c r="H96" s="21"/>
      <c r="I96" s="21"/>
      <c r="J96" s="21"/>
      <c r="K96" s="21"/>
      <c r="L96" s="21"/>
      <c r="M96" s="21"/>
      <c r="N96" s="101"/>
      <c r="O96" s="101"/>
      <c r="P96" s="110"/>
      <c r="Q96" s="109"/>
      <c r="R96" s="101"/>
      <c r="S96" s="101"/>
      <c r="T96" s="101"/>
      <c r="U96" s="101"/>
      <c r="V96" s="101"/>
      <c r="W96" s="101"/>
      <c r="X96" s="101"/>
      <c r="Y96" s="101"/>
      <c r="Z96" s="108"/>
      <c r="AA96" s="106"/>
      <c r="AB96" s="39"/>
      <c r="AC96" s="21"/>
    </row>
    <row r="97" spans="1:30" ht="14.5" x14ac:dyDescent="0.3">
      <c r="B97" s="22"/>
      <c r="C97" s="105">
        <v>4</v>
      </c>
      <c r="D97" s="21" t="s">
        <v>384</v>
      </c>
      <c r="E97" s="21"/>
      <c r="F97" s="21"/>
      <c r="G97" s="21"/>
      <c r="H97" s="21"/>
      <c r="I97" s="21"/>
      <c r="J97" s="21"/>
      <c r="K97" s="21"/>
      <c r="L97" s="21"/>
      <c r="M97" s="21"/>
      <c r="N97" s="101"/>
      <c r="O97" s="101"/>
      <c r="P97" s="110"/>
      <c r="Q97" s="109"/>
      <c r="R97" s="101"/>
      <c r="S97" s="101"/>
      <c r="T97" s="101"/>
      <c r="U97" s="101"/>
      <c r="V97" s="101"/>
      <c r="W97" s="101"/>
      <c r="X97" s="101"/>
      <c r="Y97" s="101"/>
      <c r="Z97" s="108"/>
      <c r="AA97" s="106"/>
      <c r="AB97" s="39"/>
      <c r="AC97" s="21"/>
    </row>
    <row r="98" spans="1:30" ht="14.5" x14ac:dyDescent="0.3">
      <c r="A98" s="19">
        <f>A92+1</f>
        <v>310</v>
      </c>
      <c r="B98" s="21" t="s">
        <v>405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101"/>
      <c r="O98" s="101"/>
      <c r="P98" s="110"/>
      <c r="Q98" s="109"/>
      <c r="R98" s="101"/>
      <c r="S98" s="101"/>
      <c r="T98" s="101"/>
      <c r="U98" s="101"/>
      <c r="V98" s="101"/>
      <c r="W98" s="101"/>
      <c r="X98" s="101"/>
      <c r="Y98" s="101"/>
      <c r="Z98" s="108"/>
      <c r="AA98" s="106"/>
      <c r="AB98" s="39"/>
      <c r="AC98" s="21"/>
    </row>
    <row r="99" spans="1:30" ht="14.5" x14ac:dyDescent="0.3">
      <c r="B99" s="21" t="s">
        <v>406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101"/>
      <c r="O99" s="101"/>
      <c r="P99" s="110"/>
      <c r="Q99" s="109"/>
      <c r="R99" s="108"/>
      <c r="S99" s="108"/>
      <c r="T99" s="108"/>
      <c r="U99" s="108"/>
      <c r="V99" s="108"/>
      <c r="W99" s="101"/>
      <c r="X99" s="101"/>
      <c r="Y99" s="101"/>
      <c r="Z99" s="101"/>
      <c r="AA99" s="106"/>
      <c r="AB99" s="39"/>
      <c r="AC99" s="21"/>
    </row>
    <row r="100" spans="1:30" ht="14.5" x14ac:dyDescent="0.3">
      <c r="B100" s="26" t="s">
        <v>407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01"/>
      <c r="O100" s="101"/>
      <c r="P100" s="110"/>
      <c r="Q100" s="109"/>
      <c r="R100" s="108"/>
      <c r="S100" s="108"/>
      <c r="T100" s="108"/>
      <c r="U100" s="108"/>
      <c r="V100" s="108"/>
      <c r="W100" s="101"/>
      <c r="X100" s="101"/>
      <c r="Y100" s="101"/>
      <c r="Z100" s="101"/>
      <c r="AA100" s="106"/>
      <c r="AB100" s="39"/>
      <c r="AC100" s="21"/>
    </row>
    <row r="101" spans="1:30" ht="14.5" x14ac:dyDescent="0.35">
      <c r="B101" s="113" t="s">
        <v>375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101"/>
      <c r="O101" s="101"/>
      <c r="P101" s="110"/>
      <c r="Q101" s="109"/>
      <c r="R101" s="108"/>
      <c r="S101" s="108"/>
      <c r="T101" s="108"/>
      <c r="U101" s="108"/>
      <c r="V101" s="108"/>
      <c r="W101" s="109"/>
      <c r="X101" s="101"/>
      <c r="Y101" s="101"/>
      <c r="Z101" s="101"/>
      <c r="AA101" s="106"/>
      <c r="AB101" s="39"/>
      <c r="AC101" s="21"/>
    </row>
    <row r="102" spans="1:30" ht="14.5" x14ac:dyDescent="0.35">
      <c r="B102" s="114" t="s">
        <v>374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101"/>
      <c r="O102" s="101"/>
      <c r="P102" s="110"/>
      <c r="Q102" s="109"/>
      <c r="R102" s="108"/>
      <c r="S102" s="108"/>
      <c r="T102" s="108"/>
      <c r="U102" s="108"/>
      <c r="V102" s="108"/>
      <c r="W102" s="109"/>
      <c r="X102" s="101"/>
      <c r="Y102" s="101"/>
      <c r="Z102" s="101"/>
      <c r="AA102" s="106"/>
      <c r="AB102" s="39"/>
      <c r="AC102" s="21"/>
    </row>
    <row r="103" spans="1:30" ht="7.9" customHeight="1" x14ac:dyDescent="0.3">
      <c r="C103" s="21"/>
      <c r="D103" s="21"/>
      <c r="E103" s="21"/>
      <c r="F103" s="21"/>
      <c r="G103" s="21"/>
      <c r="H103" s="21"/>
      <c r="I103" s="21"/>
      <c r="J103" s="21"/>
      <c r="K103" s="21"/>
      <c r="L103" s="29"/>
      <c r="M103" s="28"/>
      <c r="N103" s="39"/>
      <c r="O103" s="39"/>
      <c r="P103" s="39"/>
      <c r="Q103" s="43"/>
      <c r="R103" s="28"/>
      <c r="S103" s="39"/>
      <c r="T103" s="39"/>
      <c r="U103" s="39"/>
      <c r="V103" s="43"/>
      <c r="W103" s="28"/>
      <c r="X103" s="28"/>
      <c r="Y103" s="21"/>
      <c r="Z103" s="21"/>
      <c r="AA103" s="21"/>
      <c r="AB103" s="39"/>
      <c r="AC103" s="21"/>
    </row>
    <row r="104" spans="1:30" ht="14.5" x14ac:dyDescent="0.35">
      <c r="A104" s="128" t="s">
        <v>123</v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</row>
    <row r="105" spans="1:30" ht="14.5" x14ac:dyDescent="0.3">
      <c r="A105" s="121" t="s">
        <v>343</v>
      </c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</row>
    <row r="106" spans="1:30" ht="14.5" x14ac:dyDescent="0.35">
      <c r="A106" s="14" t="s">
        <v>344</v>
      </c>
      <c r="B106" s="14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30" ht="14.5" x14ac:dyDescent="0.35">
      <c r="A107" s="14"/>
      <c r="B107" s="14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30" ht="14.5" x14ac:dyDescent="0.35">
      <c r="A108" s="14"/>
      <c r="B108" s="14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30" ht="14.5" x14ac:dyDescent="0.35">
      <c r="A109" s="14"/>
      <c r="B109" s="14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30" x14ac:dyDescent="0.3">
      <c r="A110" s="15"/>
    </row>
  </sheetData>
  <mergeCells count="10">
    <mergeCell ref="A104:AD104"/>
    <mergeCell ref="A105:AC105"/>
    <mergeCell ref="A1:AC1"/>
    <mergeCell ref="A2:AC2"/>
    <mergeCell ref="A3:AC3"/>
    <mergeCell ref="A4:AC4"/>
    <mergeCell ref="A5:C5"/>
    <mergeCell ref="A8:AC8"/>
    <mergeCell ref="A19:AD19"/>
    <mergeCell ref="A47:AD47"/>
  </mergeCells>
  <printOptions horizontalCentered="1"/>
  <pageMargins left="0.25" right="0.25" top="0.75" bottom="0.75" header="0.3" footer="0.3"/>
  <pageSetup paperSize="9" scale="87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EEDA081BF1F408AAB8D5B239C3987" ma:contentTypeVersion="15" ma:contentTypeDescription="Create a new document." ma:contentTypeScope="" ma:versionID="6f66a16651dada98141d2aaa3f850de7">
  <xsd:schema xmlns:xsd="http://www.w3.org/2001/XMLSchema" xmlns:xs="http://www.w3.org/2001/XMLSchema" xmlns:p="http://schemas.microsoft.com/office/2006/metadata/properties" xmlns:ns2="0292f133-7a09-4a66-b08d-3ae74d4bae5f" xmlns:ns3="b2992bec-f44b-42ac-b395-58539b0a572b" targetNamespace="http://schemas.microsoft.com/office/2006/metadata/properties" ma:root="true" ma:fieldsID="1ce90145e0ab17afe3580099893ddfd9" ns2:_="" ns3:_="">
    <xsd:import namespace="0292f133-7a09-4a66-b08d-3ae74d4bae5f"/>
    <xsd:import namespace="b2992bec-f44b-42ac-b395-58539b0a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2f133-7a09-4a66-b08d-3ae74d4ba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92bec-f44b-42ac-b395-58539b0a5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e33d230-5026-4d61-a600-60c69d4b1ef2}" ma:internalName="TaxCatchAll" ma:showField="CatchAllData" ma:web="b2992bec-f44b-42ac-b395-58539b0a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92f133-7a09-4a66-b08d-3ae74d4bae5f">
      <Terms xmlns="http://schemas.microsoft.com/office/infopath/2007/PartnerControls"/>
    </lcf76f155ced4ddcb4097134ff3c332f>
    <TaxCatchAll xmlns="b2992bec-f44b-42ac-b395-58539b0a572b" xsi:nil="true"/>
  </documentManagement>
</p:properties>
</file>

<file path=customXml/itemProps1.xml><?xml version="1.0" encoding="utf-8"?>
<ds:datastoreItem xmlns:ds="http://schemas.openxmlformats.org/officeDocument/2006/customXml" ds:itemID="{E802F9A9-21F9-45B9-A357-2D59934DEE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EBA522-9A2F-4D95-A428-1081302FF1D2}"/>
</file>

<file path=customXml/itemProps3.xml><?xml version="1.0" encoding="utf-8"?>
<ds:datastoreItem xmlns:ds="http://schemas.openxmlformats.org/officeDocument/2006/customXml" ds:itemID="{4EBDF3E3-652B-4AAF-B0D2-777D623737A8}">
  <ds:schemaRefs>
    <ds:schemaRef ds:uri="http://schemas.microsoft.com/office/2006/metadata/properties"/>
    <ds:schemaRef ds:uri="http://schemas.microsoft.com/office/infopath/2007/PartnerControls"/>
    <ds:schemaRef ds:uri="7340eadb-ec29-456b-8b89-ef69f828ce1b"/>
    <ds:schemaRef ds:uri="e32e5e0a-879f-4c41-9d47-e8597b65af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DJPB_Short 2025</vt:lpstr>
      <vt:lpstr>SPPG</vt:lpstr>
      <vt:lpstr>Naker</vt:lpstr>
      <vt:lpstr>Naker!Print_Area</vt:lpstr>
      <vt:lpstr>SPPG!Print_Area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Kusnul Hidayati</dc:creator>
  <cp:keywords/>
  <dc:description/>
  <cp:lastModifiedBy>Prabowo Wahyu Andoyo</cp:lastModifiedBy>
  <cp:revision/>
  <cp:lastPrinted>2026-07-11T18:47:01Z</cp:lastPrinted>
  <dcterms:created xsi:type="dcterms:W3CDTF">2025-09-26T08:30:34Z</dcterms:created>
  <dcterms:modified xsi:type="dcterms:W3CDTF">2026-07-12T10:56:15Z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0x01010059BEEDA081BF1F408AAB8D5B239C3987</vt:lpwstr>
  </property>
  <property fmtid="{D5CDD505-2E9C-101B-9397-08002B2CF9AE}" pid="3" name="MediaServiceImageTags">
    <vt:lpwstr/>
  </property>
</Properties>
</file>